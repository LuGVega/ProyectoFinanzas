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F:\OCTAVO\FINANZAS\PROYECTOFINALBIEN\"/>
    </mc:Choice>
  </mc:AlternateContent>
  <xr:revisionPtr revIDLastSave="0" documentId="13_ncr:1_{B6767771-A457-43B8-A110-B42AC97BF902}" xr6:coauthVersionLast="47" xr6:coauthVersionMax="47" xr10:uidLastSave="{00000000-0000-0000-0000-000000000000}"/>
  <bookViews>
    <workbookView xWindow="-120" yWindow="-120" windowWidth="24240" windowHeight="13140" firstSheet="5" activeTab="8" xr2:uid="{00000000-000D-0000-FFFF-FFFF00000000}"/>
  </bookViews>
  <sheets>
    <sheet name="PORTADA" sheetId="3" r:id="rId1"/>
    <sheet name="MENU" sheetId="12" r:id="rId2"/>
    <sheet name="EMPRESAS" sheetId="1" r:id="rId3"/>
    <sheet name="RENDIMIENTOS" sheetId="2" r:id="rId4"/>
    <sheet name="MEDIDASESTADISTICAS" sheetId="4" r:id="rId5"/>
    <sheet name="MATRICES" sheetId="5" r:id="rId6"/>
    <sheet name="PONDERACIONES IGUALES" sheetId="6" r:id="rId7"/>
    <sheet name="MINIMORIESGO" sheetId="7" r:id="rId8"/>
    <sheet name="MAXIMARENTABILIDAD" sheetId="8" r:id="rId9"/>
    <sheet name="GRAFICA GENERAL" sheetId="9" r:id="rId10"/>
    <sheet name="GRAFICA MINIMO RIESGO" sheetId="10" r:id="rId11"/>
    <sheet name="GRAFICA MAXIMA RENTABILIDAD" sheetId="11" r:id="rId12"/>
    <sheet name="INFORME" sheetId="13" r:id="rId13"/>
    <sheet name="DESCRIPCIONES" sheetId="14" r:id="rId14"/>
  </sheets>
  <definedNames>
    <definedName name="solver_adj" localSheetId="8" hidden="1">MAXIMARENTABILIDAD!$B$10:$K$10</definedName>
    <definedName name="solver_adj" localSheetId="7" hidden="1">MINIMORIESGO!$B$10:$K$10</definedName>
    <definedName name="solver_cvg" localSheetId="8" hidden="1">0.0001</definedName>
    <definedName name="solver_cvg" localSheetId="7" hidden="1">0.0001</definedName>
    <definedName name="solver_drv" localSheetId="8" hidden="1">1</definedName>
    <definedName name="solver_drv" localSheetId="7" hidden="1">1</definedName>
    <definedName name="solver_eng" localSheetId="8" hidden="1">1</definedName>
    <definedName name="solver_eng" localSheetId="7" hidden="1">1</definedName>
    <definedName name="solver_est" localSheetId="8" hidden="1">1</definedName>
    <definedName name="solver_est" localSheetId="7" hidden="1">1</definedName>
    <definedName name="solver_itr" localSheetId="8" hidden="1">2147483647</definedName>
    <definedName name="solver_itr" localSheetId="7" hidden="1">2147483647</definedName>
    <definedName name="solver_lhs1" localSheetId="8" hidden="1">MAXIMARENTABILIDAD!$B$10:$K$10</definedName>
    <definedName name="solver_lhs1" localSheetId="7" hidden="1">MINIMORIESGO!$B$10:$K$10</definedName>
    <definedName name="solver_lhs2" localSheetId="8" hidden="1">MAXIMARENTABILIDAD!$L$10</definedName>
    <definedName name="solver_lhs2" localSheetId="7" hidden="1">MINIMORIESGO!$L$10</definedName>
    <definedName name="solver_mip" localSheetId="8" hidden="1">2147483647</definedName>
    <definedName name="solver_mip" localSheetId="7" hidden="1">2147483647</definedName>
    <definedName name="solver_mni" localSheetId="8" hidden="1">30</definedName>
    <definedName name="solver_mni" localSheetId="7" hidden="1">30</definedName>
    <definedName name="solver_mrt" localSheetId="8" hidden="1">0.075</definedName>
    <definedName name="solver_mrt" localSheetId="7" hidden="1">0.075</definedName>
    <definedName name="solver_msl" localSheetId="8" hidden="1">2</definedName>
    <definedName name="solver_msl" localSheetId="7" hidden="1">2</definedName>
    <definedName name="solver_neg" localSheetId="8" hidden="1">1</definedName>
    <definedName name="solver_neg" localSheetId="7" hidden="1">1</definedName>
    <definedName name="solver_nod" localSheetId="8" hidden="1">2147483647</definedName>
    <definedName name="solver_nod" localSheetId="7" hidden="1">2147483647</definedName>
    <definedName name="solver_num" localSheetId="8" hidden="1">2</definedName>
    <definedName name="solver_num" localSheetId="7" hidden="1">2</definedName>
    <definedName name="solver_nwt" localSheetId="8" hidden="1">1</definedName>
    <definedName name="solver_nwt" localSheetId="7" hidden="1">1</definedName>
    <definedName name="solver_opt" localSheetId="8" hidden="1">MAXIMARENTABILIDAD!$B$29</definedName>
    <definedName name="solver_opt" localSheetId="7" hidden="1">MINIMORIESGO!$B$28</definedName>
    <definedName name="solver_pre" localSheetId="8" hidden="1">0.000001</definedName>
    <definedName name="solver_pre" localSheetId="7" hidden="1">0.000001</definedName>
    <definedName name="solver_rbv" localSheetId="8" hidden="1">1</definedName>
    <definedName name="solver_rbv" localSheetId="7" hidden="1">1</definedName>
    <definedName name="solver_rel1" localSheetId="8" hidden="1">3</definedName>
    <definedName name="solver_rel1" localSheetId="7" hidden="1">3</definedName>
    <definedName name="solver_rel2" localSheetId="8" hidden="1">2</definedName>
    <definedName name="solver_rel2" localSheetId="7" hidden="1">2</definedName>
    <definedName name="solver_rhs1" localSheetId="8" hidden="1">0</definedName>
    <definedName name="solver_rhs1" localSheetId="7" hidden="1">0</definedName>
    <definedName name="solver_rhs2" localSheetId="8" hidden="1">1</definedName>
    <definedName name="solver_rhs2" localSheetId="7" hidden="1">1</definedName>
    <definedName name="solver_rlx" localSheetId="8" hidden="1">2</definedName>
    <definedName name="solver_rlx" localSheetId="7" hidden="1">2</definedName>
    <definedName name="solver_rsd" localSheetId="8" hidden="1">0</definedName>
    <definedName name="solver_rsd" localSheetId="7" hidden="1">0</definedName>
    <definedName name="solver_scl" localSheetId="8" hidden="1">1</definedName>
    <definedName name="solver_scl" localSheetId="7" hidden="1">1</definedName>
    <definedName name="solver_sho" localSheetId="8" hidden="1">2</definedName>
    <definedName name="solver_sho" localSheetId="7" hidden="1">2</definedName>
    <definedName name="solver_ssz" localSheetId="8" hidden="1">100</definedName>
    <definedName name="solver_ssz" localSheetId="7" hidden="1">100</definedName>
    <definedName name="solver_tim" localSheetId="8" hidden="1">2147483647</definedName>
    <definedName name="solver_tim" localSheetId="7" hidden="1">2147483647</definedName>
    <definedName name="solver_tol" localSheetId="8" hidden="1">0.01</definedName>
    <definedName name="solver_tol" localSheetId="7" hidden="1">0.01</definedName>
    <definedName name="solver_typ" localSheetId="8" hidden="1">1</definedName>
    <definedName name="solver_typ" localSheetId="7" hidden="1">2</definedName>
    <definedName name="solver_val" localSheetId="8" hidden="1">0</definedName>
    <definedName name="solver_val" localSheetId="7" hidden="1">0</definedName>
    <definedName name="solver_ver" localSheetId="8" hidden="1">3</definedName>
    <definedName name="solver_ver" localSheetId="7"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7" i="13" l="1"/>
  <c r="E58" i="13"/>
  <c r="D58" i="13"/>
  <c r="D29" i="13"/>
  <c r="D44" i="13"/>
  <c r="E48" i="13"/>
  <c r="E49" i="13"/>
  <c r="D50" i="13"/>
  <c r="E50" i="13"/>
  <c r="D51" i="13"/>
  <c r="E51" i="13"/>
  <c r="D52" i="13"/>
  <c r="E52" i="13"/>
  <c r="D53" i="13"/>
  <c r="E53" i="13"/>
  <c r="D54" i="13"/>
  <c r="E54" i="13"/>
  <c r="D55" i="13"/>
  <c r="E55" i="13"/>
  <c r="D56" i="13"/>
  <c r="E56" i="13"/>
  <c r="D57" i="13"/>
  <c r="E47" i="13"/>
  <c r="F47" i="13"/>
  <c r="D47" i="13"/>
  <c r="D43" i="13"/>
  <c r="D42" i="13"/>
  <c r="D41" i="13"/>
  <c r="D39" i="13"/>
  <c r="D40" i="13"/>
  <c r="D36" i="13"/>
  <c r="D37" i="13"/>
  <c r="D38" i="13"/>
  <c r="E33" i="13"/>
  <c r="F33" i="13"/>
  <c r="D33" i="13"/>
  <c r="E18" i="13"/>
  <c r="F18" i="13"/>
  <c r="D18" i="13"/>
  <c r="D27" i="13"/>
  <c r="D26" i="13"/>
  <c r="D25" i="13"/>
  <c r="D24" i="13"/>
  <c r="D23" i="13"/>
  <c r="D22" i="13"/>
  <c r="D21" i="13"/>
  <c r="E15" i="13"/>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B2" i="14"/>
  <c r="D12" i="13"/>
  <c r="D11" i="13"/>
  <c r="D10" i="13"/>
  <c r="D9" i="13"/>
  <c r="D8" i="13"/>
  <c r="D7" i="13"/>
  <c r="D6" i="13"/>
  <c r="N12" i="8"/>
  <c r="N12" i="7"/>
  <c r="N11" i="6"/>
  <c r="M23" i="8" l="1"/>
  <c r="M22" i="8"/>
  <c r="M21" i="8"/>
  <c r="M20" i="8"/>
  <c r="M19" i="8"/>
  <c r="M18" i="8"/>
  <c r="M17" i="8"/>
  <c r="M16" i="8"/>
  <c r="M15" i="8"/>
  <c r="M14" i="8"/>
  <c r="E34" i="13" s="1"/>
  <c r="L10" i="8"/>
  <c r="A7" i="8"/>
  <c r="A6" i="8"/>
  <c r="A5" i="8"/>
  <c r="A7" i="7"/>
  <c r="A6" i="7"/>
  <c r="A5" i="7"/>
  <c r="C9" i="6"/>
  <c r="D9" i="6"/>
  <c r="E9" i="6"/>
  <c r="F9" i="6"/>
  <c r="G9" i="6"/>
  <c r="H9" i="6"/>
  <c r="I9" i="6"/>
  <c r="J9" i="6"/>
  <c r="K9" i="6"/>
  <c r="B9" i="6"/>
  <c r="A6" i="6"/>
  <c r="A5" i="6"/>
  <c r="A4" i="6"/>
  <c r="C4" i="5"/>
  <c r="D4" i="5"/>
  <c r="E4" i="5"/>
  <c r="F4" i="5"/>
  <c r="G4" i="5"/>
  <c r="H4" i="5"/>
  <c r="I4" i="5"/>
  <c r="J4" i="5"/>
  <c r="K4" i="5"/>
  <c r="C5" i="5"/>
  <c r="D5" i="5"/>
  <c r="E5" i="5"/>
  <c r="F5" i="5"/>
  <c r="G5" i="5"/>
  <c r="H5" i="5"/>
  <c r="I5" i="5"/>
  <c r="J5" i="5"/>
  <c r="K5" i="5"/>
  <c r="C6" i="5"/>
  <c r="D6" i="5"/>
  <c r="E6" i="5"/>
  <c r="F6" i="5"/>
  <c r="G6" i="5"/>
  <c r="H6" i="5"/>
  <c r="I6" i="5"/>
  <c r="J6" i="5"/>
  <c r="K6" i="5"/>
  <c r="C7" i="5"/>
  <c r="D7" i="5"/>
  <c r="E7" i="5"/>
  <c r="F7" i="5"/>
  <c r="G7" i="5"/>
  <c r="H7" i="5"/>
  <c r="I7" i="5"/>
  <c r="J7" i="5"/>
  <c r="K7" i="5"/>
  <c r="C8" i="5"/>
  <c r="D8" i="5"/>
  <c r="E8" i="5"/>
  <c r="F8" i="5"/>
  <c r="F18" i="8" s="1"/>
  <c r="G8" i="5"/>
  <c r="H8" i="5"/>
  <c r="I8" i="5"/>
  <c r="J8" i="5"/>
  <c r="J18" i="8" s="1"/>
  <c r="K8" i="5"/>
  <c r="C9" i="5"/>
  <c r="D9" i="5"/>
  <c r="E9" i="5"/>
  <c r="F9" i="5"/>
  <c r="G9" i="5"/>
  <c r="H9" i="5"/>
  <c r="I9" i="5"/>
  <c r="J9" i="5"/>
  <c r="K9" i="5"/>
  <c r="C10" i="5"/>
  <c r="D10" i="5"/>
  <c r="E10" i="5"/>
  <c r="F10" i="5"/>
  <c r="G10" i="5"/>
  <c r="H10" i="5"/>
  <c r="I10" i="5"/>
  <c r="J10" i="5"/>
  <c r="K10" i="5"/>
  <c r="C11" i="5"/>
  <c r="D11" i="5"/>
  <c r="E11" i="5"/>
  <c r="F11" i="5"/>
  <c r="G11" i="5"/>
  <c r="H11" i="5"/>
  <c r="I11" i="5"/>
  <c r="J11" i="5"/>
  <c r="K11" i="5"/>
  <c r="C12" i="5"/>
  <c r="D12" i="5"/>
  <c r="E12" i="5"/>
  <c r="F12" i="5"/>
  <c r="F22" i="8" s="1"/>
  <c r="G12" i="5"/>
  <c r="H12" i="5"/>
  <c r="I12" i="5"/>
  <c r="J12" i="5"/>
  <c r="J22" i="8" s="1"/>
  <c r="K12" i="5"/>
  <c r="C13" i="5"/>
  <c r="D13" i="5"/>
  <c r="E13" i="5"/>
  <c r="F13" i="5"/>
  <c r="G13" i="5"/>
  <c r="H13" i="5"/>
  <c r="I13" i="5"/>
  <c r="J13" i="5"/>
  <c r="K13" i="5"/>
  <c r="C18" i="5"/>
  <c r="D18" i="5"/>
  <c r="E18" i="5"/>
  <c r="F18" i="5"/>
  <c r="G18" i="5"/>
  <c r="H18" i="5"/>
  <c r="I18" i="5"/>
  <c r="J18" i="5"/>
  <c r="K18" i="5"/>
  <c r="C19" i="5"/>
  <c r="D19" i="5"/>
  <c r="E19" i="5"/>
  <c r="F19" i="5"/>
  <c r="G19" i="5"/>
  <c r="H19" i="5"/>
  <c r="I19" i="5"/>
  <c r="J19" i="5"/>
  <c r="K19" i="5"/>
  <c r="C20" i="5"/>
  <c r="D20" i="5"/>
  <c r="E20" i="5"/>
  <c r="F20" i="5"/>
  <c r="G20" i="5"/>
  <c r="H20" i="5"/>
  <c r="I20" i="5"/>
  <c r="J20" i="5"/>
  <c r="K20" i="5"/>
  <c r="C21" i="5"/>
  <c r="D21" i="5"/>
  <c r="E21" i="5"/>
  <c r="F21" i="5"/>
  <c r="G21" i="5"/>
  <c r="H21" i="5"/>
  <c r="I21" i="5"/>
  <c r="J21" i="5"/>
  <c r="K21" i="5"/>
  <c r="C22" i="5"/>
  <c r="D22" i="5"/>
  <c r="E22" i="5"/>
  <c r="F22" i="5"/>
  <c r="G22" i="5"/>
  <c r="H22" i="5"/>
  <c r="I22" i="5"/>
  <c r="J22" i="5"/>
  <c r="K22" i="5"/>
  <c r="C23" i="5"/>
  <c r="D23" i="5"/>
  <c r="E23" i="5"/>
  <c r="F23" i="5"/>
  <c r="G23" i="5"/>
  <c r="H23" i="5"/>
  <c r="I23" i="5"/>
  <c r="J23" i="5"/>
  <c r="K23" i="5"/>
  <c r="C24" i="5"/>
  <c r="D24" i="5"/>
  <c r="E24" i="5"/>
  <c r="F24" i="5"/>
  <c r="G24" i="5"/>
  <c r="H24" i="5"/>
  <c r="I24" i="5"/>
  <c r="J24" i="5"/>
  <c r="K24" i="5"/>
  <c r="C25" i="5"/>
  <c r="D25" i="5"/>
  <c r="E25" i="5"/>
  <c r="F25" i="5"/>
  <c r="G25" i="5"/>
  <c r="H25" i="5"/>
  <c r="I25" i="5"/>
  <c r="J25" i="5"/>
  <c r="K25" i="5"/>
  <c r="C26" i="5"/>
  <c r="D26" i="5"/>
  <c r="E26" i="5"/>
  <c r="F26" i="5"/>
  <c r="G26" i="5"/>
  <c r="H26" i="5"/>
  <c r="I26" i="5"/>
  <c r="J26" i="5"/>
  <c r="K26" i="5"/>
  <c r="C27" i="5"/>
  <c r="D27" i="5"/>
  <c r="E27" i="5"/>
  <c r="F27" i="5"/>
  <c r="G27" i="5"/>
  <c r="H27" i="5"/>
  <c r="I27" i="5"/>
  <c r="J27" i="5"/>
  <c r="K27" i="5"/>
  <c r="B27" i="5"/>
  <c r="B26" i="5"/>
  <c r="B25" i="5"/>
  <c r="B24" i="5"/>
  <c r="B23" i="5"/>
  <c r="B22" i="5"/>
  <c r="B21" i="5"/>
  <c r="B20" i="5"/>
  <c r="B19" i="5"/>
  <c r="B18" i="5"/>
  <c r="A27" i="5"/>
  <c r="A26" i="5"/>
  <c r="A25" i="5"/>
  <c r="A24" i="5"/>
  <c r="A23" i="5"/>
  <c r="A22" i="5"/>
  <c r="A21" i="5"/>
  <c r="A20" i="5"/>
  <c r="A19" i="5"/>
  <c r="A18" i="5"/>
  <c r="K17" i="5"/>
  <c r="J17" i="5"/>
  <c r="I17" i="5"/>
  <c r="H17" i="5"/>
  <c r="G17" i="5"/>
  <c r="F17" i="5"/>
  <c r="E17" i="5"/>
  <c r="D17" i="5"/>
  <c r="C17" i="5"/>
  <c r="B17" i="5"/>
  <c r="A13" i="5"/>
  <c r="A12" i="5"/>
  <c r="A11" i="5"/>
  <c r="A10" i="5"/>
  <c r="A9" i="5"/>
  <c r="A8" i="5"/>
  <c r="A7" i="5"/>
  <c r="A6" i="5"/>
  <c r="A5" i="5"/>
  <c r="A4" i="5"/>
  <c r="B4" i="5"/>
  <c r="B13" i="5"/>
  <c r="B12" i="5"/>
  <c r="B11" i="5"/>
  <c r="B10" i="5"/>
  <c r="B9" i="5"/>
  <c r="B8" i="5"/>
  <c r="B7" i="5"/>
  <c r="B6" i="5"/>
  <c r="B5" i="5"/>
  <c r="N15" i="8" l="1"/>
  <c r="F35" i="13" s="1"/>
  <c r="E35" i="13"/>
  <c r="N16" i="8"/>
  <c r="F36" i="13" s="1"/>
  <c r="E36" i="13"/>
  <c r="N17" i="8"/>
  <c r="F37" i="13" s="1"/>
  <c r="E37" i="13"/>
  <c r="N18" i="8"/>
  <c r="F38" i="13" s="1"/>
  <c r="E38" i="13"/>
  <c r="N19" i="8"/>
  <c r="F39" i="13" s="1"/>
  <c r="E39" i="13"/>
  <c r="N20" i="8"/>
  <c r="F40" i="13" s="1"/>
  <c r="E40" i="13"/>
  <c r="N21" i="8"/>
  <c r="F41" i="13" s="1"/>
  <c r="E41" i="13"/>
  <c r="N22" i="8"/>
  <c r="F42" i="13" s="1"/>
  <c r="E42" i="13"/>
  <c r="N23" i="8"/>
  <c r="F43" i="13" s="1"/>
  <c r="E43" i="13"/>
  <c r="B14" i="8"/>
  <c r="E22" i="8"/>
  <c r="B22" i="8"/>
  <c r="I22" i="8"/>
  <c r="K22" i="8"/>
  <c r="G22" i="8"/>
  <c r="C22" i="8"/>
  <c r="H22" i="8"/>
  <c r="D22" i="8"/>
  <c r="J14" i="8"/>
  <c r="F14" i="8"/>
  <c r="B18" i="8"/>
  <c r="H18" i="8"/>
  <c r="K18" i="8"/>
  <c r="G18" i="8"/>
  <c r="I18" i="8"/>
  <c r="C18" i="8"/>
  <c r="E18" i="8"/>
  <c r="K14" i="8"/>
  <c r="G14" i="8"/>
  <c r="C14" i="8"/>
  <c r="I14" i="8"/>
  <c r="E14" i="8"/>
  <c r="B16" i="8"/>
  <c r="B20" i="8"/>
  <c r="I20" i="8"/>
  <c r="E20" i="8"/>
  <c r="I16" i="8"/>
  <c r="E16" i="8"/>
  <c r="B15" i="8"/>
  <c r="B19" i="8"/>
  <c r="B23" i="8"/>
  <c r="K23" i="8"/>
  <c r="G23" i="8"/>
  <c r="C23" i="8"/>
  <c r="I21" i="8"/>
  <c r="K19" i="8"/>
  <c r="G19" i="8"/>
  <c r="C19" i="8"/>
  <c r="K15" i="8"/>
  <c r="G15" i="8"/>
  <c r="C15" i="8"/>
  <c r="B17" i="8"/>
  <c r="B21" i="8"/>
  <c r="I23" i="8"/>
  <c r="E23" i="8"/>
  <c r="K21" i="8"/>
  <c r="G21" i="8"/>
  <c r="C21" i="8"/>
  <c r="I19" i="8"/>
  <c r="E19" i="8"/>
  <c r="K17" i="8"/>
  <c r="G17" i="8"/>
  <c r="C17" i="8"/>
  <c r="I15" i="8"/>
  <c r="E15" i="8"/>
  <c r="H20" i="8"/>
  <c r="D20" i="8"/>
  <c r="H16" i="8"/>
  <c r="D16" i="8"/>
  <c r="K20" i="8"/>
  <c r="G20" i="8"/>
  <c r="C20" i="8"/>
  <c r="K16" i="8"/>
  <c r="G16" i="8"/>
  <c r="J20" i="8"/>
  <c r="F20" i="8"/>
  <c r="E21" i="8"/>
  <c r="D18" i="8"/>
  <c r="I17" i="8"/>
  <c r="E17" i="8"/>
  <c r="J16" i="8"/>
  <c r="F16" i="8"/>
  <c r="C16" i="8"/>
  <c r="H14" i="8"/>
  <c r="D14" i="8"/>
  <c r="J23" i="8"/>
  <c r="F23" i="8"/>
  <c r="H23" i="8"/>
  <c r="H21" i="8"/>
  <c r="D21" i="8"/>
  <c r="J19" i="8"/>
  <c r="F19" i="8"/>
  <c r="H17" i="8"/>
  <c r="D17" i="8"/>
  <c r="J15" i="8"/>
  <c r="F15" i="8"/>
  <c r="D23" i="8"/>
  <c r="J21" i="8"/>
  <c r="F21" i="8"/>
  <c r="H19" i="8"/>
  <c r="D19" i="8"/>
  <c r="J17" i="8"/>
  <c r="F17" i="8"/>
  <c r="H15" i="8"/>
  <c r="D15" i="8"/>
  <c r="M24" i="8"/>
  <c r="E44" i="13" s="1"/>
  <c r="N14" i="8"/>
  <c r="M14" i="7"/>
  <c r="L10" i="7"/>
  <c r="M15" i="7"/>
  <c r="M16" i="7"/>
  <c r="M17" i="7"/>
  <c r="M18" i="7"/>
  <c r="M19" i="7"/>
  <c r="M20" i="7"/>
  <c r="M21" i="7"/>
  <c r="M22" i="7"/>
  <c r="M23" i="7"/>
  <c r="L9" i="6"/>
  <c r="M13" i="6"/>
  <c r="B13" i="6"/>
  <c r="K13" i="6"/>
  <c r="M22" i="6"/>
  <c r="J13" i="6"/>
  <c r="J22" i="6"/>
  <c r="M21" i="6"/>
  <c r="I13" i="6"/>
  <c r="I21" i="6"/>
  <c r="I22" i="6"/>
  <c r="M20" i="6"/>
  <c r="H13" i="6"/>
  <c r="H20" i="6"/>
  <c r="H21" i="6"/>
  <c r="H22" i="6"/>
  <c r="M19" i="6"/>
  <c r="G13" i="6"/>
  <c r="G19" i="6"/>
  <c r="G20" i="6"/>
  <c r="G21" i="6"/>
  <c r="G22" i="6"/>
  <c r="M18" i="6"/>
  <c r="F13" i="6"/>
  <c r="F18" i="6"/>
  <c r="F19" i="6"/>
  <c r="F20" i="6"/>
  <c r="F21" i="6"/>
  <c r="F22" i="6"/>
  <c r="M17" i="6"/>
  <c r="E13" i="6"/>
  <c r="E17" i="6"/>
  <c r="E18" i="6"/>
  <c r="E19" i="6"/>
  <c r="E20" i="6"/>
  <c r="E21" i="6"/>
  <c r="E22" i="6"/>
  <c r="M16" i="6"/>
  <c r="D13" i="6"/>
  <c r="D16" i="6"/>
  <c r="D17" i="6"/>
  <c r="D18" i="6"/>
  <c r="D19" i="6"/>
  <c r="D20" i="6"/>
  <c r="D21" i="6"/>
  <c r="D22" i="6"/>
  <c r="M15" i="6"/>
  <c r="C13" i="6"/>
  <c r="C15" i="6"/>
  <c r="C16" i="6"/>
  <c r="C17" i="6"/>
  <c r="C18" i="6"/>
  <c r="C19" i="6"/>
  <c r="C20" i="6"/>
  <c r="C21" i="6"/>
  <c r="C22" i="6"/>
  <c r="M14" i="6"/>
  <c r="N24" i="8" l="1"/>
  <c r="F44" i="13" s="1"/>
  <c r="F34" i="13"/>
  <c r="K23" i="7"/>
  <c r="E28" i="13"/>
  <c r="J22" i="7"/>
  <c r="E27" i="13"/>
  <c r="I21" i="7"/>
  <c r="E26" i="13"/>
  <c r="H20" i="7"/>
  <c r="E25" i="13"/>
  <c r="G19" i="7"/>
  <c r="E24" i="13"/>
  <c r="J18" i="7"/>
  <c r="E23" i="13"/>
  <c r="E17" i="7"/>
  <c r="E22" i="13"/>
  <c r="E16" i="7"/>
  <c r="E21" i="13"/>
  <c r="G15" i="7"/>
  <c r="E20" i="13"/>
  <c r="B14" i="7"/>
  <c r="E19" i="13"/>
  <c r="B27" i="8"/>
  <c r="B28" i="8" s="1"/>
  <c r="I35" i="13" s="1"/>
  <c r="K17" i="7"/>
  <c r="F15" i="7"/>
  <c r="J15" i="7"/>
  <c r="I17" i="7"/>
  <c r="I15" i="7"/>
  <c r="J17" i="7"/>
  <c r="J19" i="7"/>
  <c r="G18" i="7"/>
  <c r="H17" i="7"/>
  <c r="I19" i="7"/>
  <c r="G17" i="7"/>
  <c r="F16" i="7"/>
  <c r="K21" i="7"/>
  <c r="J21" i="7"/>
  <c r="K18" i="7"/>
  <c r="H18" i="7"/>
  <c r="F17" i="7"/>
  <c r="E15" i="7"/>
  <c r="H14" i="7"/>
  <c r="K14" i="7"/>
  <c r="K20" i="7"/>
  <c r="J14" i="7"/>
  <c r="I14" i="7"/>
  <c r="H16" i="7"/>
  <c r="G14" i="7"/>
  <c r="C14" i="7"/>
  <c r="K16" i="7"/>
  <c r="J20" i="7"/>
  <c r="I20" i="7"/>
  <c r="G16" i="7"/>
  <c r="F14" i="7"/>
  <c r="D14" i="7"/>
  <c r="K22" i="7"/>
  <c r="J16" i="7"/>
  <c r="I16" i="7"/>
  <c r="E14" i="7"/>
  <c r="D16" i="7"/>
  <c r="K15" i="7"/>
  <c r="K19" i="7"/>
  <c r="I18" i="7"/>
  <c r="F18" i="7"/>
  <c r="D15" i="7"/>
  <c r="C15" i="7"/>
  <c r="H15" i="7"/>
  <c r="H19" i="7"/>
  <c r="N23" i="7"/>
  <c r="F28" i="13" s="1"/>
  <c r="B23" i="7"/>
  <c r="C23" i="7"/>
  <c r="D23" i="7"/>
  <c r="E23" i="7"/>
  <c r="F23" i="7"/>
  <c r="G23" i="7"/>
  <c r="H23" i="7"/>
  <c r="I23" i="7"/>
  <c r="J23" i="7"/>
  <c r="N22" i="7"/>
  <c r="F27" i="13" s="1"/>
  <c r="B22" i="7"/>
  <c r="C22" i="7"/>
  <c r="D22" i="7"/>
  <c r="E22" i="7"/>
  <c r="F22" i="7"/>
  <c r="G22" i="7"/>
  <c r="H22" i="7"/>
  <c r="I22" i="7"/>
  <c r="N21" i="7"/>
  <c r="F26" i="13" s="1"/>
  <c r="B21" i="7"/>
  <c r="C21" i="7"/>
  <c r="D21" i="7"/>
  <c r="E21" i="7"/>
  <c r="F21" i="7"/>
  <c r="G21" i="7"/>
  <c r="H21" i="7"/>
  <c r="N20" i="7"/>
  <c r="F25" i="13" s="1"/>
  <c r="B20" i="7"/>
  <c r="C20" i="7"/>
  <c r="D20" i="7"/>
  <c r="E20" i="7"/>
  <c r="F20" i="7"/>
  <c r="G20" i="7"/>
  <c r="N19" i="7"/>
  <c r="F24" i="13" s="1"/>
  <c r="B19" i="7"/>
  <c r="C19" i="7"/>
  <c r="D19" i="7"/>
  <c r="E19" i="7"/>
  <c r="F19" i="7"/>
  <c r="N18" i="7"/>
  <c r="F23" i="13" s="1"/>
  <c r="B18" i="7"/>
  <c r="C18" i="7"/>
  <c r="D18" i="7"/>
  <c r="E18" i="7"/>
  <c r="N17" i="7"/>
  <c r="F22" i="13" s="1"/>
  <c r="B17" i="7"/>
  <c r="C17" i="7"/>
  <c r="D17" i="7"/>
  <c r="N16" i="7"/>
  <c r="F21" i="13" s="1"/>
  <c r="B16" i="7"/>
  <c r="C16" i="7"/>
  <c r="N15" i="7"/>
  <c r="F20" i="13" s="1"/>
  <c r="B15" i="7"/>
  <c r="M24" i="7"/>
  <c r="E29" i="13" s="1"/>
  <c r="N14" i="7"/>
  <c r="F19" i="13" s="1"/>
  <c r="N14" i="6"/>
  <c r="F49" i="13" s="1"/>
  <c r="B14" i="6"/>
  <c r="K14" i="6"/>
  <c r="J14" i="6"/>
  <c r="I14" i="6"/>
  <c r="H14" i="6"/>
  <c r="G14" i="6"/>
  <c r="F14" i="6"/>
  <c r="E14" i="6"/>
  <c r="D14" i="6"/>
  <c r="C14" i="6"/>
  <c r="N15" i="6"/>
  <c r="F50" i="13" s="1"/>
  <c r="B15" i="6"/>
  <c r="K15" i="6"/>
  <c r="J15" i="6"/>
  <c r="I15" i="6"/>
  <c r="H15" i="6"/>
  <c r="G15" i="6"/>
  <c r="F15" i="6"/>
  <c r="E15" i="6"/>
  <c r="D15" i="6"/>
  <c r="N16" i="6"/>
  <c r="F51" i="13" s="1"/>
  <c r="B16" i="6"/>
  <c r="K16" i="6"/>
  <c r="J16" i="6"/>
  <c r="I16" i="6"/>
  <c r="H16" i="6"/>
  <c r="G16" i="6"/>
  <c r="F16" i="6"/>
  <c r="E16" i="6"/>
  <c r="N17" i="6"/>
  <c r="F52" i="13" s="1"/>
  <c r="B17" i="6"/>
  <c r="K17" i="6"/>
  <c r="J17" i="6"/>
  <c r="I17" i="6"/>
  <c r="H17" i="6"/>
  <c r="G17" i="6"/>
  <c r="F17" i="6"/>
  <c r="N18" i="6"/>
  <c r="F53" i="13" s="1"/>
  <c r="B18" i="6"/>
  <c r="K18" i="6"/>
  <c r="J18" i="6"/>
  <c r="I18" i="6"/>
  <c r="H18" i="6"/>
  <c r="G18" i="6"/>
  <c r="N19" i="6"/>
  <c r="F54" i="13" s="1"/>
  <c r="B19" i="6"/>
  <c r="K19" i="6"/>
  <c r="J19" i="6"/>
  <c r="I19" i="6"/>
  <c r="H19" i="6"/>
  <c r="N20" i="6"/>
  <c r="F55" i="13" s="1"/>
  <c r="B20" i="6"/>
  <c r="K20" i="6"/>
  <c r="J20" i="6"/>
  <c r="I20" i="6"/>
  <c r="N21" i="6"/>
  <c r="F56" i="13" s="1"/>
  <c r="B21" i="6"/>
  <c r="K21" i="6"/>
  <c r="J21" i="6"/>
  <c r="N22" i="6"/>
  <c r="F57" i="13" s="1"/>
  <c r="B22" i="6"/>
  <c r="K22" i="6"/>
  <c r="M23" i="6"/>
  <c r="N13" i="6"/>
  <c r="N23" i="6" l="1"/>
  <c r="F58" i="13" s="1"/>
  <c r="F48" i="13"/>
  <c r="B26" i="6"/>
  <c r="B27" i="6" s="1"/>
  <c r="I49" i="13" s="1"/>
  <c r="N24" i="7"/>
  <c r="F29" i="13" s="1"/>
  <c r="B27" i="7"/>
  <c r="B28" i="7" s="1"/>
  <c r="I20" i="13" s="1"/>
  <c r="K3" i="5"/>
  <c r="J3" i="5"/>
  <c r="I3" i="5"/>
  <c r="H3" i="5"/>
  <c r="G3" i="5"/>
  <c r="F3" i="5"/>
  <c r="E3" i="5"/>
  <c r="D3" i="5"/>
  <c r="C3" i="5"/>
  <c r="B3" i="5"/>
  <c r="C9" i="4"/>
  <c r="D9" i="4"/>
  <c r="E9" i="4"/>
  <c r="F9" i="4"/>
  <c r="G9" i="4"/>
  <c r="H9" i="4"/>
  <c r="I9" i="4"/>
  <c r="I7" i="8" s="1"/>
  <c r="J9" i="4"/>
  <c r="J7" i="8" s="1"/>
  <c r="K9" i="4"/>
  <c r="B9" i="4"/>
  <c r="C8" i="4"/>
  <c r="D8" i="4"/>
  <c r="E8" i="4"/>
  <c r="F8" i="4"/>
  <c r="G8" i="4"/>
  <c r="H8" i="4"/>
  <c r="I8" i="4"/>
  <c r="I6" i="8" s="1"/>
  <c r="J8" i="4"/>
  <c r="J6" i="8" s="1"/>
  <c r="K8" i="4"/>
  <c r="B8" i="4"/>
  <c r="C7" i="4"/>
  <c r="D7" i="4"/>
  <c r="E7" i="4"/>
  <c r="F7" i="4"/>
  <c r="G7" i="4"/>
  <c r="H7" i="4"/>
  <c r="I7" i="4"/>
  <c r="I5" i="8" s="1"/>
  <c r="J7" i="4"/>
  <c r="J5" i="8" s="1"/>
  <c r="K7" i="4"/>
  <c r="B7" i="4"/>
  <c r="C6" i="4"/>
  <c r="D6" i="4"/>
  <c r="E6" i="4"/>
  <c r="F6" i="4"/>
  <c r="G6" i="4"/>
  <c r="H6" i="4"/>
  <c r="I6" i="4"/>
  <c r="J6" i="4"/>
  <c r="K6" i="4"/>
  <c r="B6" i="4"/>
  <c r="D20" i="13" l="1"/>
  <c r="D5" i="13"/>
  <c r="D19" i="13"/>
  <c r="D4" i="13"/>
  <c r="D13" i="13"/>
  <c r="D28" i="13"/>
  <c r="B5" i="7"/>
  <c r="B4" i="6"/>
  <c r="B5" i="8"/>
  <c r="B6" i="6"/>
  <c r="B7" i="7"/>
  <c r="B7" i="8"/>
  <c r="B6" i="8"/>
  <c r="B5" i="6"/>
  <c r="B6" i="7"/>
  <c r="B13" i="8"/>
  <c r="B13" i="7"/>
  <c r="B4" i="7"/>
  <c r="B4" i="8"/>
  <c r="B9" i="7"/>
  <c r="L13" i="6"/>
  <c r="D48" i="13" s="1"/>
  <c r="B3" i="6"/>
  <c r="L14" i="8"/>
  <c r="D34" i="13" s="1"/>
  <c r="B9" i="8"/>
  <c r="L14" i="7"/>
  <c r="A13" i="6"/>
  <c r="B8" i="6"/>
  <c r="A14" i="8"/>
  <c r="A14" i="7"/>
  <c r="B12" i="6"/>
  <c r="K5" i="8"/>
  <c r="K5" i="7"/>
  <c r="K4" i="6"/>
  <c r="K6" i="8"/>
  <c r="K6" i="7"/>
  <c r="K5" i="6"/>
  <c r="K7" i="8"/>
  <c r="K7" i="7"/>
  <c r="K6" i="6"/>
  <c r="L23" i="8"/>
  <c r="A23" i="8"/>
  <c r="K13" i="8"/>
  <c r="K9" i="8"/>
  <c r="K4" i="8"/>
  <c r="L23" i="7"/>
  <c r="A23" i="7"/>
  <c r="K13" i="7"/>
  <c r="K9" i="7"/>
  <c r="K4" i="7"/>
  <c r="L22" i="6"/>
  <c r="A22" i="6"/>
  <c r="K12" i="6"/>
  <c r="K8" i="6"/>
  <c r="K3" i="6"/>
  <c r="L22" i="8"/>
  <c r="A22" i="8"/>
  <c r="J13" i="8"/>
  <c r="J9" i="8"/>
  <c r="J4" i="8"/>
  <c r="L21" i="8"/>
  <c r="A21" i="8"/>
  <c r="I13" i="8"/>
  <c r="I9" i="8"/>
  <c r="I4" i="8"/>
  <c r="H5" i="8"/>
  <c r="H5" i="7"/>
  <c r="H4" i="6"/>
  <c r="H6" i="8"/>
  <c r="H6" i="7"/>
  <c r="H5" i="6"/>
  <c r="H7" i="8"/>
  <c r="H7" i="7"/>
  <c r="H6" i="6"/>
  <c r="L20" i="8"/>
  <c r="A20" i="8"/>
  <c r="H13" i="8"/>
  <c r="H9" i="8"/>
  <c r="H4" i="8"/>
  <c r="L20" i="7"/>
  <c r="A20" i="7"/>
  <c r="H13" i="7"/>
  <c r="H9" i="7"/>
  <c r="H4" i="7"/>
  <c r="L19" i="6"/>
  <c r="A19" i="6"/>
  <c r="H12" i="6"/>
  <c r="H8" i="6"/>
  <c r="H3" i="6"/>
  <c r="G5" i="8"/>
  <c r="G5" i="7"/>
  <c r="G4" i="6"/>
  <c r="G6" i="8"/>
  <c r="G6" i="7"/>
  <c r="G5" i="6"/>
  <c r="G7" i="8"/>
  <c r="G7" i="7"/>
  <c r="G6" i="6"/>
  <c r="L19" i="8"/>
  <c r="A19" i="8"/>
  <c r="G13" i="8"/>
  <c r="G9" i="8"/>
  <c r="G4" i="8"/>
  <c r="G13" i="7"/>
  <c r="L19" i="7"/>
  <c r="A19" i="7"/>
  <c r="G9" i="7"/>
  <c r="G4" i="7"/>
  <c r="L18" i="6"/>
  <c r="A18" i="6"/>
  <c r="G12" i="6"/>
  <c r="G8" i="6"/>
  <c r="G3" i="6"/>
  <c r="F5" i="8"/>
  <c r="F5" i="7"/>
  <c r="F4" i="6"/>
  <c r="F6" i="8"/>
  <c r="F6" i="7"/>
  <c r="F5" i="6"/>
  <c r="F7" i="8"/>
  <c r="F7" i="7"/>
  <c r="F6" i="6"/>
  <c r="L18" i="8"/>
  <c r="A18" i="8"/>
  <c r="F13" i="8"/>
  <c r="F9" i="8"/>
  <c r="F4" i="8"/>
  <c r="L18" i="7"/>
  <c r="A18" i="7"/>
  <c r="F13" i="7"/>
  <c r="F9" i="7"/>
  <c r="F4" i="7"/>
  <c r="L17" i="6"/>
  <c r="A17" i="6"/>
  <c r="F12" i="6"/>
  <c r="F8" i="6"/>
  <c r="F3" i="6"/>
  <c r="D5" i="8"/>
  <c r="D5" i="7"/>
  <c r="D4" i="6"/>
  <c r="D6" i="8"/>
  <c r="D6" i="7"/>
  <c r="D5" i="6"/>
  <c r="D7" i="8"/>
  <c r="D7" i="7"/>
  <c r="D6" i="6"/>
  <c r="L16" i="8"/>
  <c r="A16" i="8"/>
  <c r="D13" i="8"/>
  <c r="D9" i="8"/>
  <c r="D4" i="8"/>
  <c r="L16" i="7"/>
  <c r="A16" i="7"/>
  <c r="D13" i="7"/>
  <c r="D9" i="7"/>
  <c r="D4" i="7"/>
  <c r="L15" i="6"/>
  <c r="A15" i="6"/>
  <c r="D12" i="6"/>
  <c r="D8" i="6"/>
  <c r="D3" i="6"/>
  <c r="C5" i="8"/>
  <c r="C5" i="7"/>
  <c r="C4" i="6"/>
  <c r="C6" i="8"/>
  <c r="C6" i="7"/>
  <c r="C5" i="6"/>
  <c r="C7" i="8"/>
  <c r="C7" i="7"/>
  <c r="C6" i="6"/>
  <c r="L15" i="8"/>
  <c r="D35" i="13" s="1"/>
  <c r="A15" i="8"/>
  <c r="C13" i="8"/>
  <c r="C9" i="8"/>
  <c r="C4" i="8"/>
  <c r="L15" i="7"/>
  <c r="A15" i="7"/>
  <c r="C13" i="7"/>
  <c r="C9" i="7"/>
  <c r="C4" i="7"/>
  <c r="L14" i="6"/>
  <c r="D49" i="13" s="1"/>
  <c r="A14" i="6"/>
  <c r="C12" i="6"/>
  <c r="C8" i="6"/>
  <c r="C3" i="6"/>
  <c r="E5" i="8"/>
  <c r="E5" i="7"/>
  <c r="E4" i="6"/>
  <c r="E6" i="8"/>
  <c r="E6" i="7"/>
  <c r="E5" i="6"/>
  <c r="E7" i="8"/>
  <c r="E7" i="7"/>
  <c r="E6" i="6"/>
  <c r="L17" i="8"/>
  <c r="A17" i="8"/>
  <c r="E13" i="8"/>
  <c r="E9" i="8"/>
  <c r="E4" i="8"/>
  <c r="L17" i="7"/>
  <c r="A17" i="7"/>
  <c r="E13" i="7"/>
  <c r="E9" i="7"/>
  <c r="E4" i="7"/>
  <c r="L16" i="6"/>
  <c r="A16" i="6"/>
  <c r="E12" i="6"/>
  <c r="E8" i="6"/>
  <c r="E3" i="6"/>
  <c r="I5" i="7"/>
  <c r="I4" i="6"/>
  <c r="I6" i="7"/>
  <c r="I5" i="6"/>
  <c r="I7" i="7"/>
  <c r="I6" i="6"/>
  <c r="L21" i="7"/>
  <c r="A21" i="7"/>
  <c r="I13" i="7"/>
  <c r="I9" i="7"/>
  <c r="I4" i="7"/>
  <c r="L20" i="6"/>
  <c r="A20" i="6"/>
  <c r="I12" i="6"/>
  <c r="I8" i="6"/>
  <c r="I3" i="6"/>
  <c r="J5" i="7"/>
  <c r="J4" i="6"/>
  <c r="J6" i="7"/>
  <c r="J5" i="6"/>
  <c r="J7" i="7"/>
  <c r="J6" i="6"/>
  <c r="L22" i="7"/>
  <c r="A22" i="7"/>
  <c r="J13" i="7"/>
  <c r="J9" i="7"/>
  <c r="J4" i="7"/>
  <c r="L21" i="6"/>
  <c r="A21" i="6"/>
  <c r="J12" i="6"/>
  <c r="J8" i="6"/>
  <c r="J3" i="6"/>
  <c r="B25" i="6" l="1"/>
  <c r="B26" i="7"/>
  <c r="I21" i="13" s="1"/>
  <c r="B28" i="6" l="1"/>
  <c r="I48" i="13" s="1"/>
  <c r="I50" i="13"/>
  <c r="B29" i="7"/>
  <c r="I19" i="13" s="1"/>
  <c r="B26" i="8"/>
  <c r="B29" i="8" l="1"/>
  <c r="I34" i="13" s="1"/>
  <c r="I36" i="13"/>
</calcChain>
</file>

<file path=xl/sharedStrings.xml><?xml version="1.0" encoding="utf-8"?>
<sst xmlns="http://schemas.openxmlformats.org/spreadsheetml/2006/main" count="220" uniqueCount="141">
  <si>
    <t>BIMBO</t>
  </si>
  <si>
    <t>SONY</t>
  </si>
  <si>
    <t>COCA COLA</t>
  </si>
  <si>
    <t>STARBUCKS</t>
  </si>
  <si>
    <t>SPOTIFY</t>
  </si>
  <si>
    <t>COPPEL</t>
  </si>
  <si>
    <t>KRISPY KREME</t>
  </si>
  <si>
    <t>COLGATE</t>
  </si>
  <si>
    <t>HEINEKEN</t>
  </si>
  <si>
    <t>MICROSOFT</t>
  </si>
  <si>
    <t>GAMESA</t>
  </si>
  <si>
    <t>PEMEX</t>
  </si>
  <si>
    <t>LIVERPOOL</t>
  </si>
  <si>
    <t>INBURSA</t>
  </si>
  <si>
    <t>NIKON</t>
  </si>
  <si>
    <t>BBVA</t>
  </si>
  <si>
    <t>BANORTE</t>
  </si>
  <si>
    <t>CHEDRAUI</t>
  </si>
  <si>
    <t>ELEKTRA</t>
  </si>
  <si>
    <t>KIA</t>
  </si>
  <si>
    <t>VOLKSWAGEN</t>
  </si>
  <si>
    <t>HYUNDAI</t>
  </si>
  <si>
    <t>TOYOTA</t>
  </si>
  <si>
    <t>NISSAN</t>
  </si>
  <si>
    <t>WALMART</t>
  </si>
  <si>
    <t>FECHA</t>
  </si>
  <si>
    <t>PROMEDIO</t>
  </si>
  <si>
    <t>VARIANZA</t>
  </si>
  <si>
    <t>DESVIACIÓN ESTÁNDAR</t>
  </si>
  <si>
    <t>MEDIDAS ESTADÍSTICAS</t>
  </si>
  <si>
    <t>MATRIZ DE COVARIANZA</t>
  </si>
  <si>
    <t>*** NO SE PUEDEN MODIFICAR LAS CELDAS***</t>
  </si>
  <si>
    <t>SELECCIONA LAS CELDAS QUE ESTAN DENTRO DEL RANGO B1:K1 Y LEE LAS INSTRUCCIONES POR FAVOR</t>
  </si>
  <si>
    <t>En caso de no seleccionar las celdas correctas habra errores</t>
  </si>
  <si>
    <t>PONDERACIONES</t>
  </si>
  <si>
    <t>TOTAL</t>
  </si>
  <si>
    <t>MATRIZ DE MARKOWITZ</t>
  </si>
  <si>
    <t>EMPRESAS</t>
  </si>
  <si>
    <t>MONTO</t>
  </si>
  <si>
    <t>PORCENTAJE</t>
  </si>
  <si>
    <t>INVERSIÓN</t>
  </si>
  <si>
    <t>RETORNO DE PORTAFOLIO</t>
  </si>
  <si>
    <t>BETA</t>
  </si>
  <si>
    <t>RENDIMIENTO ESPERADO</t>
  </si>
  <si>
    <t>VARIANZA DE PORTAFOLIO</t>
  </si>
  <si>
    <t>DESVIACIÓN DE PORTAFOLIO</t>
  </si>
  <si>
    <t>RIESGO</t>
  </si>
  <si>
    <t>RATIO DE SHARPE</t>
  </si>
  <si>
    <t>RENTABILIDAD</t>
  </si>
  <si>
    <t>DAR CLICK AL ICONO PARA VER LA GRÁFICA</t>
  </si>
  <si>
    <t>MINIMIZAR RIESGO</t>
  </si>
  <si>
    <t>SELECCIONAR EL BOTÓN ROSA PARA CALCULAR NUEVAS PONDERACIONES</t>
  </si>
  <si>
    <t>MAXIMIZAR RENTABILIDAD</t>
  </si>
  <si>
    <t>TEMAS SELECTOS DE ADMINISTRACIÓN Y FINANZAS</t>
  </si>
  <si>
    <t>PORTAFOLIO DE INVERSONES</t>
  </si>
  <si>
    <t>GRUPO: 2805</t>
  </si>
  <si>
    <t>ALUMNAS:</t>
  </si>
  <si>
    <t>GÓMEZ VEGA GUADALUPE</t>
  </si>
  <si>
    <t>JIMÉNEZ MARTÍNEZ ANA CECILIA</t>
  </si>
  <si>
    <t xml:space="preserve">PROFESOR: MARTÍNEZ TOLENTINO ESPARTACO </t>
  </si>
  <si>
    <t>MATRIZ DE CORRELACIÓN</t>
  </si>
  <si>
    <t>MENÚ PRINCIPAL</t>
  </si>
  <si>
    <t xml:space="preserve">MATRIZ DE COVARIANZA </t>
  </si>
  <si>
    <t>GRÁFICA MÁXIMA RENTABILIDAD</t>
  </si>
  <si>
    <t>MATRIZ DE CORRELACÓN</t>
  </si>
  <si>
    <t>INVERSIÓN MÁXIMA RENTABILIDAD</t>
  </si>
  <si>
    <t>RENDIMIENTOS</t>
  </si>
  <si>
    <t>GRÁFICA GENERAL</t>
  </si>
  <si>
    <t>INFORME</t>
  </si>
  <si>
    <t>INVERSIÓN GENERAL</t>
  </si>
  <si>
    <t>GRÁFICA MÍNIMO RIESGO</t>
  </si>
  <si>
    <t>INVERSIÓN MÍNIMO RIESGO</t>
  </si>
  <si>
    <t>*** MODIFICAR SOLO LO DE AMARILLO***</t>
  </si>
  <si>
    <t>INGRESE MONTO DE INVERSIÓN:</t>
  </si>
  <si>
    <t>MENÚ</t>
  </si>
  <si>
    <t>FACULTAD DE ESTUDIOS SUPERIORES ACATLÁN</t>
  </si>
  <si>
    <t>UNIVERSIDAD NACIONAL AUTÓNOMA DE MÉXICO</t>
  </si>
  <si>
    <t>TESLA</t>
  </si>
  <si>
    <t>APPLE</t>
  </si>
  <si>
    <t>META</t>
  </si>
  <si>
    <t>HONDA</t>
  </si>
  <si>
    <t>ROKU</t>
  </si>
  <si>
    <t>PARAMOUNT</t>
  </si>
  <si>
    <t>CANON</t>
  </si>
  <si>
    <t>NIKE</t>
  </si>
  <si>
    <t>FORD</t>
  </si>
  <si>
    <t>NETFLIX</t>
  </si>
  <si>
    <t>AMAZON</t>
  </si>
  <si>
    <t>INFORME DE PORTAFOLIO DE INVERSIÓN</t>
  </si>
  <si>
    <t>EMPRESA</t>
  </si>
  <si>
    <t>: Grupo Bimbo es la empresa de panificación líder y más grande del mundo y un jugador relevante en snacks.</t>
  </si>
  <si>
    <t>: Sony es una multinacional japonesa fundada en 1946 cuyas principales líneas de negocio son la electrónica de consumo y la producción musical y cinematográfica.</t>
  </si>
  <si>
    <t>: Walmart es una corporación multinacional de tiendas de origen estadounidense, que opera cadenas de grandes almacenes de descuento y clubes de almacenes.</t>
  </si>
  <si>
    <t>: Krispy Kreme es una multinacional de dónuts con sede en Charlotte, Carolina del Norte (Estados Unidos).</t>
  </si>
  <si>
    <t>DESCRIPCIÓN</t>
  </si>
  <si>
    <t>: Liverpool es la cadena de almacenes departamentales de mayor cobertura a lo largo del país.</t>
  </si>
  <si>
    <t>: El Grupo Financiero Inbursa  es una sociedad financiera que a través de sus subsidiarias, proporciona servicios de banca y servicios relacionados en México.</t>
  </si>
  <si>
    <t>: Nikon es el líder mundial en imágenes digitales, óptica de precisión y tecnología de imágenes fotográficas, además de ser reconocida por fijar nuevos estándares en diseño y desempeño de productos.</t>
  </si>
  <si>
    <t>: BBVA es un grupo financiero global fundado en 1857 con una visión centrada en el cliente. Tiene una posición de liderazgo en el mercado español, es la mayor institución financiera de México y cuenta con franquicias líder en América del Sur.</t>
  </si>
  <si>
    <t>: Kia Corporation es un fabricante de vehículos de calidad para clientes jóvenes de corazón. Fue fundada en 1944 y es el fabricante más antiguo de vehículos de motor en Corea.</t>
  </si>
  <si>
    <t>: El Grupo Volkswagen, con sede en Wolfsburg, Alemania, es uno de los principales fabricantes mundiales de automóviles y vehículos comerciales y el mayor fabricante de automóviles de Europa.</t>
  </si>
  <si>
    <t>: Hyundai Motor Company es el mayor fabricante surcoreano de automóviles. Su sede principal está en Yangjae-Dong en la ciudad de Seocho-Gu en Seúl. Es el sexto fabricante de automóviles más grande del mundo y fue establecida en México desde el 2014.</t>
  </si>
  <si>
    <t>: La marca de autos Toyota es una de las empresas más grandes del mundo. Su sede está en la ciudad de Toyota, en la prefectura de Aichi, Japón. Toyota es un fabricante global de autos de carácter generalista y dispone de una segunda marca, Lexus, para sus modelos premium.</t>
  </si>
  <si>
    <t>: The Coca-Cola Company es una corporación multinacional estadounidense que tiene intereses en la fabricación, venta minorista y comercialización de concentrados y jarabes para bebidas no alcohólicas.</t>
  </si>
  <si>
    <t>: Spotify es un servicio de música, pódcasts y vídeos digitales que te da acceso a millones de canciones y a otro contenido de creadores de todo el mundo.</t>
  </si>
  <si>
    <t>: Coppel es una compañía que ofrece servicios comerciales y financieros. Opera la cadena de tiendas departamentales Coppel que comercializa muebles, electrodomésticos, línea blanca, joyería, ropa, y calzado entre otros.</t>
  </si>
  <si>
    <t>: Colgate es una marca registrada por la empresa estadounidense Colgate-Palmolive de productos de cuidado oral tales como pasta dental, cepillos dentales, enjuague bucal e hilo dental.</t>
  </si>
  <si>
    <t>: Microsoft Corporation es una multinacional tecnológica de origen estadounidense que desarrolla y comercializa una amplia gama de software, hardware y servicios de TI.</t>
  </si>
  <si>
    <t>: Petróleos Mexicanos (PEMEX) es una empresa estatal productora, transportista, refinadora y comercializadora de petróleo y gas natural mexicana.</t>
  </si>
  <si>
    <t>: Grupo  Banorte  es una institución financiera líder en México, con la mayor diversificación de negocio y que busca continuamente la manera de innovar en el sector financiero.</t>
  </si>
  <si>
    <t>: Nissan Motor es un fabricante japonés de automóviles, con base en Nishi-ku (Yokohama). Su nombre común, Nissan, es un acrónimo de "Nippon Sangyo". Está entre las principales compañías automotrices en términos de producción anual de vehículos.</t>
  </si>
  <si>
    <t xml:space="preserve">: Tesla Inc., es una compañía perteneciente a la industria Automotriz, que se encarga de producir y distribuir vehículos eléctricos junto a sistemas de almacenamiento de baterías. </t>
  </si>
  <si>
    <t>: Apple es una prominente empresa de hardware y software conocida por su serie de computadoras personales, el iPod y sus innovadoras estrategias de marketing para sus productos.</t>
  </si>
  <si>
    <t>: Es una empresa que opera principalmente en el sector TIC. Conecta con sus contactos clave, proyectos, accionistas, noticias relacionadas y más. Esta empresa cuenta con operaciones en Estados Unidos.</t>
  </si>
  <si>
    <t>: Honda Motor es una empresa de capital abierto de origen japonés fabricante de automóviles, motores para vehículos terrestres, acuáticos y aéreos, motocicletas, robots y componentes para la industria automotriz.</t>
  </si>
  <si>
    <t>: Paramount Pictures Corporation es una compañía productora y distribuidora de cine, con sede en Hollywood (California). Es propiedad de Paramount Global y anteriormente de Gulf+Western. Fue fundada el 8 de mayo de 1912.</t>
  </si>
  <si>
    <t>: Roku es la empresa pionera en streaming para TV. Los reproductores de streaming Roku son la opción más accesible y económica para ver TV. Solo conéctalos a tu TV y a internet, configura tu cuenta Roku y comienza a reproducir por streaming tu contenido favorito.</t>
  </si>
  <si>
    <t>: Canon es una compañía japonesa especializada en productos ópticos y de captura y reproducción de imágenes, que incluye fotografía, vídeo, fotocopiadoras e impresoras. Su sede principal se localiza en Tokio y actualmente es uno de los líderes en el sector de la fotografía y de la óptica.</t>
  </si>
  <si>
    <t>PUMA</t>
  </si>
  <si>
    <t>: Puma es una multinacional europea que diseña y fabrica calzado, indumentaria y accesorios deportivos y casuales, cuya sede principal está en Herzogenaurach, Bavaria.</t>
  </si>
  <si>
    <t xml:space="preserve">: Adidas es una empresa alemana fundada en 1949 por Adolf Dassler, especializada en la fabricación de artículos deportivos, con sede en Herzogenaurach (Alemania). </t>
  </si>
  <si>
    <t>ADIDAS</t>
  </si>
  <si>
    <t>: Nike, Inc.​ es una empresa multinacional estadounidense dedicada al diseño, desarrollo, fabricación y comercialización de equipamiento deportivo: balones, calzado, ropa, equipo, accesorios y otros artículos deportivos.</t>
  </si>
  <si>
    <t>: La empresa Ford Motor Company, es una organización multinacional fundada en Estados Unidos la cual se dedica a la construcción de automóviles con base en Michigan, Estados Unidos. Fue constituida el 16 de junio de 1903 por Henry Ford en Detroit, Míchigan.</t>
  </si>
  <si>
    <t>ALPHABET</t>
  </si>
  <si>
    <t>: Alphabet, Inc. es una empresa tecnológica multinacional con sede en Estados Unidos cuya principal filial es Google, que desarrolla productos y servicios relacionados con internet, software, electrónica de consumo, dispositivos electrónicos y otras tecnologías.</t>
  </si>
  <si>
    <t>: Netflix, Inc. Es una empresa de entretenimiento de carácter privado con capital abierto, y un servicio de suscripción estadounidense que opera a nivel mundial y cuyo servicio principal es la distribución de contenido audiovisual a través de una plataforma en línea.</t>
  </si>
  <si>
    <t>: Amazon es una multinacional tecnológica estadounidense especializada en comercio electrónico, computación en la nube, streaming digital e inteligencia artificial.</t>
  </si>
  <si>
    <t>: Heineken es el grupo cervecero más grande de Europa y el de mayor presencia internacional.</t>
  </si>
  <si>
    <t>: Gamesa es una empresa subsidiaria de Pepsico. Se dedica a la elaboración y comercialización de productos alimenticios para consumo humano como galletas y pan, principalmente.</t>
  </si>
  <si>
    <t>: Chedraui es una tienda de Autoservicio en las que el consumidor podrá encontrar una gran variedad y un amplio surtido de productos de calidad a los mejores precios del mercado.</t>
  </si>
  <si>
    <t>: Grupo Elektra es una sociedad anónima de capital variable que se dedica a proveer servicios financieros y de comercio especializado.</t>
  </si>
  <si>
    <t xml:space="preserve">La inversión es de </t>
  </si>
  <si>
    <t>Rentabilidad=</t>
  </si>
  <si>
    <t>Riesgo=</t>
  </si>
  <si>
    <t>Rendimiento esperado=</t>
  </si>
  <si>
    <t>Si desea invertir la misma cantidad de dinero para cada empresa su rentabilidad, riesgo y rendimiento serán los siguientes</t>
  </si>
  <si>
    <t>: Starbucks es una cadena de locales que se dedica desde la década de 1970 a la venta de café, bebidas calientes, bocadillos y una serie de productos como oferta complementaria.</t>
  </si>
  <si>
    <t>Para que la inversión tenga un mínimo riesgo se le recomienda asignarles los siguientes montos a las empresas</t>
  </si>
  <si>
    <t>Para que la inversión tenga una máxima rentabilidad se le recomienda asignarles los siguientes montos a las empresas</t>
  </si>
  <si>
    <t>DESCRIPCIONES DE LAS EMPRESAS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</si>
</sst>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0.00000000"/>
    <numFmt numFmtId="165" formatCode="0.000%"/>
    <numFmt numFmtId="166" formatCode="0.0000%"/>
    <numFmt numFmtId="167" formatCode="0.0000000%"/>
  </numFmts>
  <fonts count="21" x14ac:knownFonts="1">
    <font>
      <sz val="11"/>
      <color theme="1"/>
      <name val="Calibri"/>
      <family val="2"/>
      <scheme val="minor"/>
    </font>
    <font>
      <sz val="11"/>
      <color theme="1"/>
      <name val="Comic Sans MS"/>
      <family val="4"/>
    </font>
    <font>
      <sz val="18"/>
      <color theme="1"/>
      <name val="Comic Sans MS"/>
      <family val="4"/>
    </font>
    <font>
      <sz val="11"/>
      <color theme="1"/>
      <name val="Calibri"/>
      <family val="2"/>
      <scheme val="minor"/>
    </font>
    <font>
      <sz val="16"/>
      <color rgb="FFFF0000"/>
      <name val="Comic Sans MS"/>
      <family val="4"/>
    </font>
    <font>
      <sz val="16"/>
      <color theme="1"/>
      <name val="Comic Sans MS"/>
      <family val="4"/>
    </font>
    <font>
      <b/>
      <sz val="14"/>
      <color rgb="FFFF0000"/>
      <name val="Comic Sans MS"/>
      <family val="4"/>
    </font>
    <font>
      <sz val="48"/>
      <color rgb="FFFF0000"/>
      <name val="Comic Sans MS"/>
      <family val="4"/>
    </font>
    <font>
      <sz val="48"/>
      <color theme="1"/>
      <name val="Calibri"/>
      <family val="2"/>
      <scheme val="minor"/>
    </font>
    <font>
      <b/>
      <sz val="11"/>
      <color theme="1"/>
      <name val="Comic Sans MS"/>
      <family val="4"/>
    </font>
    <font>
      <b/>
      <sz val="12"/>
      <color theme="1"/>
      <name val="Comic Sans MS"/>
      <family val="4"/>
    </font>
    <font>
      <b/>
      <sz val="10.5"/>
      <color rgb="FF000000"/>
      <name val="Comic Sans MS"/>
      <family val="4"/>
    </font>
    <font>
      <b/>
      <sz val="18"/>
      <color rgb="FF002060"/>
      <name val="Comic Sans MS"/>
      <family val="4"/>
    </font>
    <font>
      <b/>
      <sz val="9"/>
      <color rgb="FFEF89E8"/>
      <name val="Comic Sans MS"/>
      <family val="4"/>
    </font>
    <font>
      <sz val="20"/>
      <color theme="1"/>
      <name val="Comic Sans MS"/>
      <family val="4"/>
    </font>
    <font>
      <sz val="14"/>
      <color rgb="FFFF0000"/>
      <name val="Comic Sans MS"/>
      <family val="4"/>
    </font>
    <font>
      <sz val="10"/>
      <color theme="1"/>
      <name val="Comic Sans MS"/>
      <family val="4"/>
    </font>
    <font>
      <b/>
      <sz val="10"/>
      <color theme="1"/>
      <name val="Comic Sans MS"/>
      <family val="4"/>
    </font>
    <font>
      <b/>
      <sz val="48"/>
      <color theme="1"/>
      <name val="Comic Sans MS"/>
      <family val="4"/>
    </font>
    <font>
      <sz val="12"/>
      <color theme="1"/>
      <name val="Comic Sans MS"/>
      <family val="4"/>
    </font>
    <font>
      <sz val="11"/>
      <color rgb="FF000000"/>
      <name val="Comic Sans MS"/>
      <family val="4"/>
    </font>
  </fonts>
  <fills count="11">
    <fill>
      <patternFill patternType="none"/>
    </fill>
    <fill>
      <patternFill patternType="gray125"/>
    </fill>
    <fill>
      <patternFill patternType="solid">
        <fgColor rgb="FF9BF7E8"/>
        <bgColor indexed="64"/>
      </patternFill>
    </fill>
    <fill>
      <patternFill patternType="solid">
        <fgColor rgb="FF66FF99"/>
        <bgColor indexed="64"/>
      </patternFill>
    </fill>
    <fill>
      <patternFill patternType="solid">
        <fgColor rgb="FF00FFFF"/>
        <bgColor indexed="64"/>
      </patternFill>
    </fill>
    <fill>
      <patternFill patternType="solid">
        <fgColor rgb="FF7EDED3"/>
        <bgColor indexed="64"/>
      </patternFill>
    </fill>
    <fill>
      <patternFill patternType="solid">
        <fgColor theme="0"/>
        <bgColor indexed="64"/>
      </patternFill>
    </fill>
    <fill>
      <patternFill patternType="solid">
        <fgColor theme="1"/>
        <bgColor indexed="64"/>
      </patternFill>
    </fill>
    <fill>
      <patternFill patternType="solid">
        <fgColor rgb="FFFBF995"/>
        <bgColor indexed="64"/>
      </patternFill>
    </fill>
    <fill>
      <patternFill patternType="solid">
        <fgColor rgb="FF9BFFBC"/>
        <bgColor indexed="64"/>
      </patternFill>
    </fill>
    <fill>
      <patternFill patternType="solid">
        <fgColor rgb="FFFBFE86"/>
        <bgColor indexed="64"/>
      </patternFill>
    </fill>
  </fills>
  <borders count="21">
    <border>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174">
    <xf numFmtId="0" fontId="0" fillId="0" borderId="0" xfId="0"/>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0" borderId="0" xfId="0" applyFont="1" applyAlignment="1">
      <alignment horizontal="center" vertical="center"/>
    </xf>
    <xf numFmtId="14" fontId="1" fillId="0" borderId="0" xfId="0" applyNumberFormat="1" applyFont="1" applyAlignment="1">
      <alignment horizontal="center"/>
    </xf>
    <xf numFmtId="0" fontId="1" fillId="0" borderId="0" xfId="0" applyFont="1" applyAlignment="1">
      <alignment horizontal="center"/>
    </xf>
    <xf numFmtId="0" fontId="1" fillId="0" borderId="0" xfId="0" applyFont="1"/>
    <xf numFmtId="0" fontId="1" fillId="3" borderId="2" xfId="0" applyFont="1" applyFill="1" applyBorder="1" applyAlignment="1">
      <alignment horizontal="center" vertical="center"/>
    </xf>
    <xf numFmtId="0" fontId="1" fillId="2" borderId="3" xfId="0" applyFont="1" applyFill="1" applyBorder="1" applyAlignment="1">
      <alignment horizontal="center" vertical="center"/>
    </xf>
    <xf numFmtId="164" fontId="1" fillId="0" borderId="0" xfId="0" applyNumberFormat="1" applyFont="1" applyAlignment="1">
      <alignment horizontal="center" vertical="center"/>
    </xf>
    <xf numFmtId="0" fontId="1" fillId="0" borderId="12" xfId="0" applyFont="1" applyBorder="1" applyAlignment="1">
      <alignment horizontal="center" vertical="center"/>
    </xf>
    <xf numFmtId="0" fontId="1" fillId="3" borderId="14"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3" borderId="4" xfId="0" applyFont="1" applyFill="1" applyBorder="1" applyAlignment="1">
      <alignment horizontal="center" vertical="center"/>
    </xf>
    <xf numFmtId="164" fontId="1" fillId="0" borderId="5" xfId="0" applyNumberFormat="1" applyFont="1" applyBorder="1" applyAlignment="1">
      <alignment horizontal="center" vertical="center"/>
    </xf>
    <xf numFmtId="0" fontId="1" fillId="2" borderId="4" xfId="0" applyFont="1" applyFill="1" applyBorder="1" applyAlignment="1">
      <alignment horizontal="center" vertical="center"/>
    </xf>
    <xf numFmtId="0" fontId="1" fillId="2" borderId="6" xfId="0" applyFont="1" applyFill="1" applyBorder="1" applyAlignment="1">
      <alignment horizontal="center" vertical="center"/>
    </xf>
    <xf numFmtId="164" fontId="1" fillId="0" borderId="7" xfId="0" applyNumberFormat="1" applyFont="1" applyBorder="1" applyAlignment="1">
      <alignment horizontal="center" vertical="center"/>
    </xf>
    <xf numFmtId="164" fontId="1" fillId="0" borderId="8" xfId="0" applyNumberFormat="1" applyFont="1" applyBorder="1" applyAlignment="1">
      <alignment horizontal="center" vertical="center"/>
    </xf>
    <xf numFmtId="0" fontId="1" fillId="3"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3"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3" borderId="12" xfId="0" applyFont="1" applyFill="1" applyBorder="1" applyAlignment="1">
      <alignment horizontal="center" vertical="center"/>
    </xf>
    <xf numFmtId="164" fontId="1" fillId="0" borderId="4" xfId="0" applyNumberFormat="1" applyFont="1" applyBorder="1" applyAlignment="1">
      <alignment horizontal="center" vertical="center"/>
    </xf>
    <xf numFmtId="164" fontId="1" fillId="0" borderId="6" xfId="0" applyNumberFormat="1" applyFont="1" applyBorder="1" applyAlignment="1">
      <alignment horizontal="center" vertical="center"/>
    </xf>
    <xf numFmtId="0" fontId="1" fillId="5" borderId="0" xfId="0" applyFont="1" applyFill="1" applyAlignment="1">
      <alignment horizontal="center" vertical="center"/>
    </xf>
    <xf numFmtId="164" fontId="1" fillId="0" borderId="14" xfId="0" applyNumberFormat="1" applyFont="1" applyBorder="1" applyAlignment="1">
      <alignment horizontal="center" vertical="center"/>
    </xf>
    <xf numFmtId="164" fontId="1" fillId="0" borderId="15" xfId="0" applyNumberFormat="1" applyFont="1" applyBorder="1" applyAlignment="1">
      <alignment horizontal="center" vertical="center"/>
    </xf>
    <xf numFmtId="0" fontId="1" fillId="5" borderId="8" xfId="0" applyFont="1" applyFill="1" applyBorder="1" applyAlignment="1">
      <alignment horizontal="center" vertical="center"/>
    </xf>
    <xf numFmtId="0" fontId="1" fillId="5" borderId="12" xfId="0" applyFont="1" applyFill="1" applyBorder="1" applyAlignment="1">
      <alignment horizontal="center" vertical="center"/>
    </xf>
    <xf numFmtId="0" fontId="1" fillId="3" borderId="11" xfId="0" applyFont="1" applyFill="1" applyBorder="1" applyAlignment="1">
      <alignment horizontal="center" vertical="center"/>
    </xf>
    <xf numFmtId="0" fontId="0" fillId="6" borderId="0" xfId="0" applyFill="1"/>
    <xf numFmtId="0" fontId="8" fillId="6" borderId="0" xfId="0" applyFont="1" applyFill="1"/>
    <xf numFmtId="0" fontId="8" fillId="0" borderId="0" xfId="0" applyFont="1"/>
    <xf numFmtId="0" fontId="1" fillId="3"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4" fontId="1" fillId="0" borderId="12" xfId="0" applyNumberFormat="1" applyFont="1" applyBorder="1" applyAlignment="1">
      <alignment horizontal="center" vertical="center"/>
    </xf>
    <xf numFmtId="0" fontId="1" fillId="0" borderId="13" xfId="0" applyFont="1" applyBorder="1" applyAlignment="1">
      <alignment horizontal="center" vertical="center"/>
    </xf>
    <xf numFmtId="9" fontId="9" fillId="3" borderId="13" xfId="2" applyFont="1" applyFill="1" applyBorder="1" applyAlignment="1">
      <alignment horizontal="center" vertical="center"/>
    </xf>
    <xf numFmtId="0" fontId="9" fillId="3" borderId="3" xfId="0" applyFont="1" applyFill="1" applyBorder="1" applyAlignment="1">
      <alignment horizontal="center" vertical="center"/>
    </xf>
    <xf numFmtId="9" fontId="1" fillId="0" borderId="7" xfId="2" applyFont="1" applyBorder="1" applyAlignment="1">
      <alignment horizontal="center" vertical="center"/>
    </xf>
    <xf numFmtId="44" fontId="9" fillId="0" borderId="0" xfId="1" applyFont="1" applyAlignment="1">
      <alignment horizontal="center" vertical="center"/>
    </xf>
    <xf numFmtId="44" fontId="9" fillId="8" borderId="3" xfId="1" applyFont="1" applyFill="1" applyBorder="1" applyAlignment="1">
      <alignment horizontal="center" vertical="center"/>
    </xf>
    <xf numFmtId="0" fontId="9" fillId="4" borderId="2" xfId="0" applyFont="1" applyFill="1" applyBorder="1" applyAlignment="1">
      <alignment horizontal="center" vertical="center"/>
    </xf>
    <xf numFmtId="0" fontId="9" fillId="4" borderId="1" xfId="0" applyFont="1" applyFill="1" applyBorder="1" applyAlignment="1">
      <alignment horizontal="center" vertical="center"/>
    </xf>
    <xf numFmtId="0" fontId="9" fillId="4" borderId="3" xfId="0" applyFont="1" applyFill="1" applyBorder="1" applyAlignment="1">
      <alignment horizontal="center" vertical="center"/>
    </xf>
    <xf numFmtId="0" fontId="9" fillId="0" borderId="0" xfId="0" applyFont="1" applyAlignment="1">
      <alignment horizontal="center" vertical="center"/>
    </xf>
    <xf numFmtId="9" fontId="9" fillId="0" borderId="0" xfId="0" applyNumberFormat="1" applyFont="1" applyAlignment="1">
      <alignment horizontal="center" vertical="center"/>
    </xf>
    <xf numFmtId="9" fontId="1" fillId="3" borderId="0" xfId="0" applyNumberFormat="1" applyFont="1" applyFill="1" applyAlignment="1">
      <alignment horizontal="center" vertical="center"/>
    </xf>
    <xf numFmtId="44" fontId="1" fillId="3" borderId="5" xfId="0" applyNumberFormat="1" applyFont="1" applyFill="1" applyBorder="1" applyAlignment="1">
      <alignment horizontal="center" vertical="center"/>
    </xf>
    <xf numFmtId="9" fontId="1" fillId="2" borderId="0" xfId="2" applyFont="1" applyFill="1" applyBorder="1" applyAlignment="1">
      <alignment horizontal="center" vertical="center"/>
    </xf>
    <xf numFmtId="9" fontId="1" fillId="3" borderId="14" xfId="0" applyNumberFormat="1" applyFont="1" applyFill="1" applyBorder="1" applyAlignment="1">
      <alignment horizontal="center" vertical="center"/>
    </xf>
    <xf numFmtId="44" fontId="1" fillId="3" borderId="15" xfId="0" applyNumberFormat="1" applyFont="1" applyFill="1" applyBorder="1" applyAlignment="1">
      <alignment horizontal="center" vertical="center"/>
    </xf>
    <xf numFmtId="44" fontId="1" fillId="2" borderId="5" xfId="1" applyFont="1" applyFill="1" applyBorder="1" applyAlignment="1">
      <alignment horizontal="center" vertical="center"/>
    </xf>
    <xf numFmtId="9" fontId="1" fillId="2" borderId="7" xfId="2" applyFont="1" applyFill="1" applyBorder="1" applyAlignment="1">
      <alignment horizontal="center" vertical="center"/>
    </xf>
    <xf numFmtId="44" fontId="1" fillId="2" borderId="8" xfId="1" applyFont="1" applyFill="1" applyBorder="1" applyAlignment="1">
      <alignment horizontal="center" vertical="center"/>
    </xf>
    <xf numFmtId="0" fontId="10" fillId="4" borderId="12" xfId="0" applyFont="1" applyFill="1" applyBorder="1" applyAlignment="1">
      <alignment horizontal="center" vertical="center"/>
    </xf>
    <xf numFmtId="0" fontId="10" fillId="4" borderId="14" xfId="0" applyFont="1" applyFill="1" applyBorder="1" applyAlignment="1">
      <alignment horizontal="center" vertical="center"/>
    </xf>
    <xf numFmtId="0" fontId="10" fillId="4" borderId="4" xfId="0" applyFont="1" applyFill="1" applyBorder="1" applyAlignment="1">
      <alignment horizontal="center" vertical="center"/>
    </xf>
    <xf numFmtId="0" fontId="10" fillId="4" borderId="0" xfId="0" applyFont="1" applyFill="1" applyAlignment="1">
      <alignment horizontal="center" vertical="center"/>
    </xf>
    <xf numFmtId="0" fontId="10" fillId="4" borderId="5" xfId="0" applyFont="1" applyFill="1" applyBorder="1" applyAlignment="1">
      <alignment horizontal="center" vertical="center"/>
    </xf>
    <xf numFmtId="10" fontId="10" fillId="4" borderId="0" xfId="2" applyNumberFormat="1" applyFont="1" applyFill="1" applyBorder="1" applyAlignment="1">
      <alignment horizontal="center" vertical="center"/>
    </xf>
    <xf numFmtId="0" fontId="10" fillId="4" borderId="6" xfId="0" applyFont="1" applyFill="1" applyBorder="1" applyAlignment="1">
      <alignment horizontal="center" vertical="center"/>
    </xf>
    <xf numFmtId="10" fontId="10" fillId="4" borderId="7" xfId="2" applyNumberFormat="1" applyFont="1" applyFill="1" applyBorder="1" applyAlignment="1">
      <alignment horizontal="center" vertical="center"/>
    </xf>
    <xf numFmtId="0" fontId="10" fillId="4" borderId="7" xfId="0" applyFont="1" applyFill="1" applyBorder="1" applyAlignment="1">
      <alignment horizontal="center" vertical="center"/>
    </xf>
    <xf numFmtId="0" fontId="10" fillId="4" borderId="8" xfId="0" applyFont="1" applyFill="1" applyBorder="1" applyAlignment="1">
      <alignment horizontal="center" vertical="center"/>
    </xf>
    <xf numFmtId="0" fontId="4" fillId="0" borderId="0" xfId="0" applyFont="1" applyAlignment="1">
      <alignment vertical="center"/>
    </xf>
    <xf numFmtId="0" fontId="1" fillId="4" borderId="0" xfId="0" applyFont="1" applyFill="1" applyAlignment="1">
      <alignment horizontal="center" vertical="center"/>
    </xf>
    <xf numFmtId="0" fontId="1" fillId="4" borderId="0" xfId="0" applyFont="1" applyFill="1" applyAlignment="1">
      <alignment vertical="center"/>
    </xf>
    <xf numFmtId="0" fontId="1" fillId="0" borderId="0" xfId="0" applyFont="1" applyAlignment="1">
      <alignment vertical="center"/>
    </xf>
    <xf numFmtId="165" fontId="1" fillId="0" borderId="7" xfId="2" applyNumberFormat="1" applyFont="1" applyBorder="1" applyAlignment="1">
      <alignment horizontal="center" vertical="center"/>
    </xf>
    <xf numFmtId="0" fontId="14" fillId="0" borderId="0" xfId="0" applyFont="1" applyAlignment="1">
      <alignment horizontal="center" vertical="center"/>
    </xf>
    <xf numFmtId="166" fontId="1" fillId="3" borderId="14" xfId="0" applyNumberFormat="1" applyFont="1" applyFill="1" applyBorder="1" applyAlignment="1">
      <alignment horizontal="center" vertical="center"/>
    </xf>
    <xf numFmtId="166" fontId="1" fillId="2" borderId="0" xfId="2" applyNumberFormat="1" applyFont="1" applyFill="1" applyBorder="1" applyAlignment="1">
      <alignment horizontal="center" vertical="center"/>
    </xf>
    <xf numFmtId="166" fontId="1" fillId="3" borderId="0" xfId="0" applyNumberFormat="1" applyFont="1" applyFill="1" applyAlignment="1">
      <alignment horizontal="center" vertical="center"/>
    </xf>
    <xf numFmtId="166" fontId="1" fillId="2" borderId="7" xfId="2" applyNumberFormat="1" applyFont="1" applyFill="1" applyBorder="1" applyAlignment="1">
      <alignment horizontal="center" vertical="center"/>
    </xf>
    <xf numFmtId="167" fontId="1" fillId="3" borderId="14" xfId="0" applyNumberFormat="1" applyFont="1" applyFill="1" applyBorder="1" applyAlignment="1">
      <alignment horizontal="center" vertical="center"/>
    </xf>
    <xf numFmtId="167" fontId="1" fillId="2" borderId="0" xfId="2" applyNumberFormat="1" applyFont="1" applyFill="1" applyBorder="1" applyAlignment="1">
      <alignment horizontal="center" vertical="center"/>
    </xf>
    <xf numFmtId="167" fontId="1" fillId="3" borderId="0" xfId="0" applyNumberFormat="1" applyFont="1" applyFill="1" applyAlignment="1">
      <alignment horizontal="center" vertical="center"/>
    </xf>
    <xf numFmtId="167" fontId="1" fillId="2" borderId="7" xfId="2" applyNumberFormat="1" applyFont="1" applyFill="1" applyBorder="1" applyAlignment="1">
      <alignment horizontal="center" vertical="center"/>
    </xf>
    <xf numFmtId="0" fontId="16" fillId="6" borderId="4" xfId="0" applyFont="1" applyFill="1" applyBorder="1" applyAlignment="1">
      <alignment horizontal="center" vertical="center"/>
    </xf>
    <xf numFmtId="0" fontId="16" fillId="6" borderId="0" xfId="0" applyFont="1" applyFill="1" applyAlignment="1">
      <alignment horizontal="center" vertical="center"/>
    </xf>
    <xf numFmtId="0" fontId="16" fillId="6" borderId="5" xfId="0" applyFont="1" applyFill="1" applyBorder="1" applyAlignment="1">
      <alignment horizontal="center" vertical="center"/>
    </xf>
    <xf numFmtId="0" fontId="16" fillId="9" borderId="12" xfId="0" applyFont="1" applyFill="1" applyBorder="1" applyAlignment="1">
      <alignment horizontal="center" vertical="center"/>
    </xf>
    <xf numFmtId="0" fontId="16" fillId="9" borderId="15" xfId="0" applyFont="1" applyFill="1" applyBorder="1" applyAlignment="1">
      <alignment horizontal="center" vertical="center"/>
    </xf>
    <xf numFmtId="0" fontId="17" fillId="9" borderId="12" xfId="0" applyFont="1" applyFill="1" applyBorder="1" applyAlignment="1">
      <alignment horizontal="center" vertical="center"/>
    </xf>
    <xf numFmtId="0" fontId="17" fillId="9" borderId="15" xfId="0" applyFont="1" applyFill="1" applyBorder="1" applyAlignment="1">
      <alignment horizontal="center" vertical="center"/>
    </xf>
    <xf numFmtId="0" fontId="16" fillId="9" borderId="4" xfId="0" applyFont="1" applyFill="1" applyBorder="1" applyAlignment="1">
      <alignment horizontal="center" vertical="center"/>
    </xf>
    <xf numFmtId="0" fontId="17" fillId="9" borderId="5" xfId="0" applyFont="1" applyFill="1" applyBorder="1" applyAlignment="1">
      <alignment horizontal="center" vertical="center"/>
    </xf>
    <xf numFmtId="0" fontId="17" fillId="9" borderId="4" xfId="0" applyFont="1" applyFill="1" applyBorder="1" applyAlignment="1">
      <alignment horizontal="center" vertical="center"/>
    </xf>
    <xf numFmtId="0" fontId="16" fillId="9" borderId="6" xfId="0" applyFont="1" applyFill="1" applyBorder="1" applyAlignment="1">
      <alignment horizontal="center" vertical="center"/>
    </xf>
    <xf numFmtId="0" fontId="16" fillId="9" borderId="8" xfId="0" applyFont="1" applyFill="1" applyBorder="1" applyAlignment="1">
      <alignment horizontal="center" vertical="center"/>
    </xf>
    <xf numFmtId="0" fontId="17" fillId="9" borderId="6" xfId="0" applyFont="1" applyFill="1" applyBorder="1" applyAlignment="1">
      <alignment horizontal="center" vertical="center"/>
    </xf>
    <xf numFmtId="0" fontId="17" fillId="9" borderId="8"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16" fillId="6" borderId="8" xfId="0" applyFont="1" applyFill="1" applyBorder="1" applyAlignment="1">
      <alignment horizontal="center" vertical="center"/>
    </xf>
    <xf numFmtId="0" fontId="14" fillId="3" borderId="0" xfId="0" applyFont="1" applyFill="1" applyAlignment="1">
      <alignment horizontal="center" vertical="center"/>
    </xf>
    <xf numFmtId="0" fontId="0" fillId="3" borderId="0" xfId="0" applyFill="1"/>
    <xf numFmtId="14" fontId="1" fillId="0" borderId="0" xfId="0" applyNumberFormat="1" applyFont="1" applyAlignment="1">
      <alignment horizontal="center" vertical="center"/>
    </xf>
    <xf numFmtId="0" fontId="1" fillId="0" borderId="0" xfId="0" applyFont="1" applyAlignment="1" applyProtection="1">
      <alignment horizontal="center" vertical="center"/>
      <protection locked="0"/>
    </xf>
    <xf numFmtId="0" fontId="17" fillId="6" borderId="0" xfId="0" applyFont="1" applyFill="1" applyAlignment="1">
      <alignment horizontal="center" vertical="center"/>
    </xf>
    <xf numFmtId="0" fontId="19" fillId="0" borderId="0" xfId="0" applyFont="1" applyAlignment="1">
      <alignment horizontal="center" vertical="center"/>
    </xf>
    <xf numFmtId="0" fontId="1" fillId="0" borderId="0" xfId="0" applyFont="1" applyAlignment="1">
      <alignment horizontal="left"/>
    </xf>
    <xf numFmtId="0" fontId="1" fillId="0" borderId="0" xfId="0" applyFont="1" applyAlignment="1">
      <alignment horizontal="right" vertical="center"/>
    </xf>
    <xf numFmtId="0" fontId="19" fillId="0" borderId="0" xfId="0" applyFont="1" applyAlignment="1">
      <alignment vertical="center"/>
    </xf>
    <xf numFmtId="0" fontId="9" fillId="4" borderId="16" xfId="0" applyFont="1" applyFill="1" applyBorder="1" applyAlignment="1">
      <alignment horizontal="center" vertical="center"/>
    </xf>
    <xf numFmtId="0" fontId="1" fillId="3" borderId="16" xfId="0" applyFont="1" applyFill="1" applyBorder="1" applyAlignment="1">
      <alignment horizontal="center" vertical="center"/>
    </xf>
    <xf numFmtId="167" fontId="1" fillId="3" borderId="16" xfId="0" applyNumberFormat="1" applyFont="1" applyFill="1" applyBorder="1" applyAlignment="1">
      <alignment horizontal="center" vertical="center"/>
    </xf>
    <xf numFmtId="44" fontId="1" fillId="3" borderId="16" xfId="0" applyNumberFormat="1" applyFont="1" applyFill="1" applyBorder="1" applyAlignment="1">
      <alignment horizontal="center" vertical="center"/>
    </xf>
    <xf numFmtId="0" fontId="1" fillId="2" borderId="16" xfId="0" applyFont="1" applyFill="1" applyBorder="1" applyAlignment="1">
      <alignment horizontal="center" vertical="center"/>
    </xf>
    <xf numFmtId="167" fontId="1" fillId="2" borderId="16" xfId="2" applyNumberFormat="1" applyFont="1" applyFill="1" applyBorder="1" applyAlignment="1">
      <alignment horizontal="center" vertical="center"/>
    </xf>
    <xf numFmtId="44" fontId="1" fillId="2" borderId="16" xfId="1" applyFont="1" applyFill="1" applyBorder="1" applyAlignment="1">
      <alignment horizontal="center" vertical="center"/>
    </xf>
    <xf numFmtId="10" fontId="10" fillId="4" borderId="0" xfId="2" applyNumberFormat="1" applyFont="1" applyFill="1" applyAlignment="1">
      <alignment horizontal="center" vertical="center"/>
    </xf>
    <xf numFmtId="10" fontId="10" fillId="4" borderId="14" xfId="2" applyNumberFormat="1" applyFont="1" applyFill="1" applyBorder="1" applyAlignment="1">
      <alignment horizontal="center" vertical="center"/>
    </xf>
    <xf numFmtId="166" fontId="10" fillId="4" borderId="14" xfId="2" applyNumberFormat="1" applyFont="1" applyFill="1" applyBorder="1" applyAlignment="1">
      <alignment horizontal="center" vertical="center"/>
    </xf>
    <xf numFmtId="166" fontId="10" fillId="4" borderId="0" xfId="2" applyNumberFormat="1" applyFont="1" applyFill="1" applyAlignment="1">
      <alignment horizontal="center" vertical="center"/>
    </xf>
    <xf numFmtId="166" fontId="10" fillId="4" borderId="0" xfId="2" applyNumberFormat="1" applyFont="1" applyFill="1" applyBorder="1" applyAlignment="1">
      <alignment horizontal="center" vertical="center"/>
    </xf>
    <xf numFmtId="166" fontId="10" fillId="4" borderId="7" xfId="2" applyNumberFormat="1" applyFont="1" applyFill="1" applyBorder="1" applyAlignment="1">
      <alignment horizontal="center" vertical="center"/>
    </xf>
    <xf numFmtId="0" fontId="20" fillId="0" borderId="0" xfId="0" applyFont="1" applyAlignment="1">
      <alignment vertical="center"/>
    </xf>
    <xf numFmtId="0" fontId="19" fillId="6" borderId="0" xfId="0" applyFont="1" applyFill="1" applyAlignment="1">
      <alignment horizontal="center" vertical="center"/>
    </xf>
    <xf numFmtId="0" fontId="20" fillId="6" borderId="0" xfId="0" applyFont="1" applyFill="1" applyAlignment="1">
      <alignment vertical="center"/>
    </xf>
    <xf numFmtId="0" fontId="1" fillId="6" borderId="0" xfId="0" applyFont="1" applyFill="1" applyAlignment="1">
      <alignment vertical="center"/>
    </xf>
    <xf numFmtId="0" fontId="1" fillId="2" borderId="17" xfId="0" applyFont="1" applyFill="1" applyBorder="1" applyAlignment="1">
      <alignment horizontal="center" vertical="center"/>
    </xf>
    <xf numFmtId="167" fontId="1" fillId="2" borderId="17" xfId="2" applyNumberFormat="1" applyFont="1" applyFill="1" applyBorder="1" applyAlignment="1">
      <alignment horizontal="center" vertical="center"/>
    </xf>
    <xf numFmtId="44" fontId="1" fillId="2" borderId="17" xfId="1" applyFont="1" applyFill="1" applyBorder="1" applyAlignment="1">
      <alignment horizontal="center" vertical="center"/>
    </xf>
    <xf numFmtId="0" fontId="1" fillId="10" borderId="18" xfId="0" applyFont="1" applyFill="1" applyBorder="1" applyAlignment="1">
      <alignment horizontal="center" vertical="center"/>
    </xf>
    <xf numFmtId="167" fontId="1" fillId="10" borderId="19" xfId="2" applyNumberFormat="1" applyFont="1" applyFill="1" applyBorder="1" applyAlignment="1">
      <alignment horizontal="center" vertical="center"/>
    </xf>
    <xf numFmtId="44" fontId="1" fillId="10" borderId="20" xfId="1" applyFont="1" applyFill="1" applyBorder="1" applyAlignment="1">
      <alignment horizontal="center" vertical="center"/>
    </xf>
    <xf numFmtId="9" fontId="1" fillId="3" borderId="16" xfId="2" applyFont="1" applyFill="1" applyBorder="1" applyAlignment="1">
      <alignment horizontal="center" vertical="center"/>
    </xf>
    <xf numFmtId="9" fontId="1" fillId="2" borderId="16" xfId="2" applyFont="1" applyFill="1" applyBorder="1" applyAlignment="1">
      <alignment horizontal="center" vertical="center"/>
    </xf>
    <xf numFmtId="9" fontId="1" fillId="2" borderId="17" xfId="2" applyFont="1" applyFill="1" applyBorder="1" applyAlignment="1">
      <alignment horizontal="center" vertical="center"/>
    </xf>
    <xf numFmtId="9" fontId="1" fillId="10" borderId="19" xfId="2" applyFont="1" applyFill="1" applyBorder="1" applyAlignment="1">
      <alignment horizontal="center" vertical="center"/>
    </xf>
    <xf numFmtId="0" fontId="1" fillId="6" borderId="0" xfId="0" applyFont="1" applyFill="1" applyAlignment="1">
      <alignment horizontal="center" vertical="center"/>
    </xf>
    <xf numFmtId="0" fontId="1" fillId="6" borderId="0" xfId="0" applyFont="1" applyFill="1" applyAlignment="1">
      <alignment horizontal="right" vertical="center"/>
    </xf>
    <xf numFmtId="44" fontId="1" fillId="6" borderId="0" xfId="1" applyFont="1" applyFill="1" applyAlignment="1">
      <alignment horizontal="center" vertical="center"/>
    </xf>
    <xf numFmtId="166" fontId="1" fillId="6" borderId="0" xfId="2" applyNumberFormat="1" applyFont="1" applyFill="1" applyAlignment="1">
      <alignment horizontal="center" vertical="center"/>
    </xf>
    <xf numFmtId="0" fontId="1" fillId="6" borderId="0" xfId="0" applyFont="1" applyFill="1" applyAlignment="1">
      <alignment horizontal="left" vertical="center"/>
    </xf>
    <xf numFmtId="0" fontId="20" fillId="0" borderId="0" xfId="0" applyFont="1" applyAlignment="1">
      <alignment horizontal="left"/>
    </xf>
    <xf numFmtId="0" fontId="20" fillId="0" borderId="0" xfId="0" applyFont="1"/>
    <xf numFmtId="0" fontId="14" fillId="3" borderId="0" xfId="0" applyFont="1" applyFill="1" applyAlignment="1">
      <alignment horizontal="center" vertical="center"/>
    </xf>
    <xf numFmtId="0" fontId="17" fillId="9" borderId="5" xfId="0" applyFont="1" applyFill="1" applyBorder="1" applyAlignment="1">
      <alignment horizontal="center" vertical="center"/>
    </xf>
    <xf numFmtId="44" fontId="9" fillId="10" borderId="0" xfId="1" applyFont="1" applyFill="1" applyAlignment="1">
      <alignment horizontal="center" vertical="center"/>
    </xf>
    <xf numFmtId="0" fontId="9" fillId="0" borderId="4" xfId="0" applyFont="1" applyBorder="1" applyAlignment="1">
      <alignment horizontal="right" vertical="center"/>
    </xf>
    <xf numFmtId="0" fontId="9" fillId="0" borderId="0" xfId="0" applyFont="1" applyAlignment="1">
      <alignment horizontal="right" vertical="center"/>
    </xf>
    <xf numFmtId="0" fontId="15" fillId="10" borderId="12" xfId="0" applyFont="1" applyFill="1" applyBorder="1" applyAlignment="1">
      <alignment horizontal="center" vertical="center"/>
    </xf>
    <xf numFmtId="0" fontId="15" fillId="10" borderId="14" xfId="0" applyFont="1" applyFill="1" applyBorder="1" applyAlignment="1">
      <alignment horizontal="center" vertical="center"/>
    </xf>
    <xf numFmtId="0" fontId="15" fillId="10" borderId="15" xfId="0" applyFont="1" applyFill="1" applyBorder="1" applyAlignment="1">
      <alignment horizontal="center" vertical="center"/>
    </xf>
    <xf numFmtId="0" fontId="12" fillId="6" borderId="4" xfId="0" applyFont="1" applyFill="1" applyBorder="1" applyAlignment="1">
      <alignment horizontal="center" vertical="center"/>
    </xf>
    <xf numFmtId="0" fontId="12" fillId="6" borderId="0" xfId="0" applyFont="1" applyFill="1" applyAlignment="1">
      <alignment horizontal="center" vertical="center"/>
    </xf>
    <xf numFmtId="0" fontId="12" fillId="6" borderId="5" xfId="0" applyFont="1" applyFill="1" applyBorder="1" applyAlignment="1">
      <alignment horizontal="center" vertical="center"/>
    </xf>
    <xf numFmtId="0" fontId="18" fillId="0" borderId="7" xfId="0" applyFont="1" applyBorder="1" applyAlignment="1">
      <alignment horizontal="center" vertical="center"/>
    </xf>
    <xf numFmtId="0" fontId="4" fillId="6" borderId="0" xfId="0" applyFont="1" applyFill="1" applyAlignment="1">
      <alignment horizontal="center" vertical="center"/>
    </xf>
    <xf numFmtId="0" fontId="6" fillId="6" borderId="0" xfId="0" applyFont="1" applyFill="1" applyAlignment="1">
      <alignment horizontal="center" vertical="center"/>
    </xf>
    <xf numFmtId="0" fontId="7" fillId="7" borderId="7" xfId="0" applyFont="1" applyFill="1" applyBorder="1" applyAlignment="1">
      <alignment horizontal="center" vertical="center"/>
    </xf>
    <xf numFmtId="0" fontId="2" fillId="4" borderId="0" xfId="0" applyFont="1" applyFill="1" applyAlignment="1">
      <alignment horizontal="center" vertical="center"/>
    </xf>
    <xf numFmtId="0" fontId="4" fillId="0" borderId="0" xfId="0" applyFont="1" applyAlignment="1">
      <alignment horizontal="center" vertical="center"/>
    </xf>
    <xf numFmtId="0" fontId="5" fillId="4" borderId="2" xfId="0" applyFont="1" applyFill="1" applyBorder="1" applyAlignment="1">
      <alignment horizontal="center" vertical="center"/>
    </xf>
    <xf numFmtId="0" fontId="5" fillId="4" borderId="1" xfId="0" applyFont="1" applyFill="1" applyBorder="1" applyAlignment="1">
      <alignment horizontal="center" vertical="center"/>
    </xf>
    <xf numFmtId="0" fontId="5" fillId="4" borderId="3" xfId="0" applyFont="1" applyFill="1" applyBorder="1" applyAlignment="1">
      <alignment horizontal="center" vertical="center"/>
    </xf>
    <xf numFmtId="0" fontId="9" fillId="4" borderId="0" xfId="0" applyFont="1" applyFill="1" applyAlignment="1">
      <alignment horizontal="center" vertical="center"/>
    </xf>
    <xf numFmtId="0" fontId="9" fillId="4" borderId="2" xfId="0" applyFont="1" applyFill="1" applyBorder="1" applyAlignment="1">
      <alignment horizontal="center" vertical="center"/>
    </xf>
    <xf numFmtId="0" fontId="9" fillId="4" borderId="1" xfId="0" applyFont="1" applyFill="1" applyBorder="1" applyAlignment="1">
      <alignment horizontal="center" vertical="center"/>
    </xf>
    <xf numFmtId="0" fontId="9" fillId="4" borderId="3" xfId="0" applyFont="1" applyFill="1" applyBorder="1" applyAlignment="1">
      <alignment horizontal="center" vertical="center"/>
    </xf>
    <xf numFmtId="0" fontId="9" fillId="8" borderId="2" xfId="0" applyFont="1" applyFill="1" applyBorder="1" applyAlignment="1">
      <alignment horizontal="center" vertical="center"/>
    </xf>
    <xf numFmtId="0" fontId="9" fillId="8"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4" borderId="15" xfId="0" applyFont="1" applyFill="1" applyBorder="1" applyAlignment="1">
      <alignment horizontal="center" vertical="center"/>
    </xf>
    <xf numFmtId="0" fontId="11" fillId="4" borderId="0" xfId="0" applyFont="1" applyFill="1" applyAlignment="1">
      <alignment horizontal="center"/>
    </xf>
    <xf numFmtId="0" fontId="13" fillId="7" borderId="0" xfId="0" applyFont="1" applyFill="1" applyAlignment="1">
      <alignment horizontal="center" vertical="center"/>
    </xf>
    <xf numFmtId="0" fontId="12" fillId="4" borderId="0" xfId="0" applyFont="1" applyFill="1" applyAlignment="1">
      <alignment horizontal="center" vertical="center"/>
    </xf>
    <xf numFmtId="0" fontId="1" fillId="6" borderId="0" xfId="0" applyFont="1" applyFill="1" applyAlignment="1">
      <alignment horizontal="center" vertical="center"/>
    </xf>
  </cellXfs>
  <cellStyles count="3">
    <cellStyle name="Moneda" xfId="1" builtinId="4"/>
    <cellStyle name="Normal" xfId="0" builtinId="0"/>
    <cellStyle name="Porcentaje" xfId="2" builtinId="5"/>
  </cellStyles>
  <dxfs count="0"/>
  <tableStyles count="0" defaultTableStyle="TableStyleMedium2" defaultPivotStyle="PivotStyleLight16"/>
  <colors>
    <mruColors>
      <color rgb="FF7EDED3"/>
      <color rgb="FF47FFFF"/>
      <color rgb="FF00FFFF"/>
      <color rgb="FFFBFE86"/>
      <color rgb="FF66FF99"/>
      <color rgb="FFEF89E8"/>
      <color rgb="FFE74FDC"/>
      <color rgb="FFFBF995"/>
      <color rgb="FF4DD3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9.702581798789095E-2"/>
          <c:y val="9.7900569522002767E-2"/>
          <c:w val="0.5637174138093296"/>
          <c:h val="0.78172980932349756"/>
        </c:manualLayout>
      </c:layout>
      <c:pieChart>
        <c:varyColors val="1"/>
        <c:ser>
          <c:idx val="0"/>
          <c:order val="0"/>
          <c:tx>
            <c:strRef>
              <c:f>'PONDERACIONES IGUALES'!$M$12</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DD7-4FF1-9611-DD5FD55AB2B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DD7-4FF1-9611-DD5FD55AB2B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DD7-4FF1-9611-DD5FD55AB2B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DD7-4FF1-9611-DD5FD55AB2B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DD7-4FF1-9611-DD5FD55AB2B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DD7-4FF1-9611-DD5FD55AB2B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DD7-4FF1-9611-DD5FD55AB2B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DD7-4FF1-9611-DD5FD55AB2B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DD7-4FF1-9611-DD5FD55AB2B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DD7-4FF1-9611-DD5FD55AB2B2}"/>
              </c:ext>
            </c:extLst>
          </c:dPt>
          <c:dLbls>
            <c:spPr>
              <a:noFill/>
              <a:ln>
                <a:noFill/>
              </a:ln>
              <a:effectLst/>
            </c:spPr>
            <c:txPr>
              <a:bodyPr rot="0" spcFirstLastPara="1" vertOverflow="ellipsis" vert="horz" wrap="square" anchor="ctr" anchorCtr="1"/>
              <a:lstStyle/>
              <a:p>
                <a:pPr>
                  <a:defRPr sz="1050" b="1" i="0" u="none" strike="noStrike" kern="1200" baseline="0">
                    <a:solidFill>
                      <a:schemeClr val="lt1">
                        <a:lumMod val="85000"/>
                      </a:schemeClr>
                    </a:solidFill>
                    <a:latin typeface="Comic Sans MS" panose="030F0702030302020204" pitchFamily="66" charset="0"/>
                    <a:ea typeface="+mn-ea"/>
                    <a:cs typeface="+mn-cs"/>
                  </a:defRPr>
                </a:pPr>
                <a:endParaRPr lang="es-MX"/>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'PONDERACIONES IGUALES'!$L$13:$L$22</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'PONDERACIONES IGUALES'!$M$13:$M$22</c:f>
              <c:numCache>
                <c:formatCode>0%</c:formatCode>
                <c:ptCount val="10"/>
                <c:pt idx="0">
                  <c:v>0.1</c:v>
                </c:pt>
                <c:pt idx="1">
                  <c:v>0.1</c:v>
                </c:pt>
                <c:pt idx="2">
                  <c:v>0.1</c:v>
                </c:pt>
                <c:pt idx="3">
                  <c:v>0.1</c:v>
                </c:pt>
                <c:pt idx="4">
                  <c:v>0.1</c:v>
                </c:pt>
                <c:pt idx="5">
                  <c:v>0.1</c:v>
                </c:pt>
                <c:pt idx="6">
                  <c:v>0.1</c:v>
                </c:pt>
                <c:pt idx="7">
                  <c:v>0.1</c:v>
                </c:pt>
                <c:pt idx="8">
                  <c:v>0.1</c:v>
                </c:pt>
                <c:pt idx="9">
                  <c:v>0.1</c:v>
                </c:pt>
              </c:numCache>
            </c:numRef>
          </c:val>
          <c:extLst>
            <c:ext xmlns:c16="http://schemas.microsoft.com/office/drawing/2014/chart" uri="{C3380CC4-5D6E-409C-BE32-E72D297353CC}">
              <c16:uniqueId val="{00000014-ADD7-4FF1-9611-DD5FD55AB2B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0.7564120839476739"/>
          <c:y val="0.19084146532239357"/>
          <c:w val="0.19728089721763167"/>
          <c:h val="0.6178729087923086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050" b="1">
          <a:latin typeface="Comic Sans MS" panose="030F0702030302020204" pitchFamily="66" charset="0"/>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r>
              <a:rPr lang="en-US"/>
              <a:t>PORCENTAJE MÍNIMO</a:t>
            </a:r>
            <a:r>
              <a:rPr lang="en-US" baseline="0"/>
              <a:t> RIESGO</a:t>
            </a:r>
            <a:endParaRPr lang="en-US"/>
          </a:p>
        </c:rich>
      </c:tx>
      <c:overlay val="0"/>
      <c:spPr>
        <a:noFill/>
        <a:ln>
          <a:noFill/>
        </a:ln>
        <a:effectLst/>
      </c:spPr>
      <c:txPr>
        <a:bodyPr rot="0" spcFirstLastPara="1" vertOverflow="ellipsis" vert="horz" wrap="square" anchor="ctr" anchorCtr="1"/>
        <a:lstStyle/>
        <a:p>
          <a:pPr>
            <a:defRPr sz="126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0.12129691000680889"/>
          <c:y val="0.14412299091544375"/>
          <c:w val="0.47541307336582928"/>
          <c:h val="0.69738889582582686"/>
        </c:manualLayout>
      </c:layout>
      <c:pieChart>
        <c:varyColors val="1"/>
        <c:ser>
          <c:idx val="0"/>
          <c:order val="0"/>
          <c:tx>
            <c:strRef>
              <c:f>MINIMORIESGO!$M$13</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D68-477C-8475-E74EF2C5119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D68-477C-8475-E74EF2C5119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D68-477C-8475-E74EF2C5119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D68-477C-8475-E74EF2C5119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D68-477C-8475-E74EF2C5119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CD68-477C-8475-E74EF2C5119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CD68-477C-8475-E74EF2C5119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CD68-477C-8475-E74EF2C5119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CD68-477C-8475-E74EF2C5119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CD68-477C-8475-E74EF2C5119E}"/>
              </c:ext>
            </c:extLst>
          </c:dPt>
          <c:dLbls>
            <c:spPr>
              <a:noFill/>
              <a:ln>
                <a:noFill/>
              </a:ln>
              <a:effectLst/>
            </c:spPr>
            <c:txPr>
              <a:bodyPr rot="0" spcFirstLastPara="1" vertOverflow="ellipsis" vert="horz" wrap="square" anchor="ctr" anchorCtr="1"/>
              <a:lstStyle/>
              <a:p>
                <a:pPr>
                  <a:defRPr sz="1050" b="1" i="0" u="none" strike="noStrike" kern="1200" baseline="0">
                    <a:solidFill>
                      <a:schemeClr val="lt1">
                        <a:lumMod val="85000"/>
                      </a:schemeClr>
                    </a:solidFill>
                    <a:latin typeface="Comic Sans MS" panose="030F0702030302020204" pitchFamily="66" charset="0"/>
                    <a:ea typeface="+mn-ea"/>
                    <a:cs typeface="+mn-cs"/>
                  </a:defRPr>
                </a:pPr>
                <a:endParaRPr lang="es-MX"/>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MINIMORIESGO!$L$14:$L$23</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MINIMORIESGO!$M$14:$M$23</c:f>
              <c:numCache>
                <c:formatCode>0.0000%</c:formatCode>
                <c:ptCount val="10"/>
                <c:pt idx="0">
                  <c:v>2.9085964029620593E-2</c:v>
                </c:pt>
                <c:pt idx="1">
                  <c:v>3.3057121047331268E-3</c:v>
                </c:pt>
                <c:pt idx="2">
                  <c:v>1.2395473832765177E-5</c:v>
                </c:pt>
                <c:pt idx="3">
                  <c:v>3.5015266179388542E-2</c:v>
                </c:pt>
                <c:pt idx="4">
                  <c:v>2.4466916074344282E-2</c:v>
                </c:pt>
                <c:pt idx="5">
                  <c:v>5.9395832767169627E-3</c:v>
                </c:pt>
                <c:pt idx="6">
                  <c:v>0.78097571761730855</c:v>
                </c:pt>
                <c:pt idx="7">
                  <c:v>3.9153304707263664E-2</c:v>
                </c:pt>
                <c:pt idx="8">
                  <c:v>8.1859510302048411E-2</c:v>
                </c:pt>
                <c:pt idx="9">
                  <c:v>1.8563330956099486E-4</c:v>
                </c:pt>
              </c:numCache>
            </c:numRef>
          </c:val>
          <c:extLst>
            <c:ext xmlns:c16="http://schemas.microsoft.com/office/drawing/2014/chart" uri="{C3380CC4-5D6E-409C-BE32-E72D297353CC}">
              <c16:uniqueId val="{00000014-CD68-477C-8475-E74EF2C5119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0.65380390960279589"/>
          <c:y val="0.12098604026697923"/>
          <c:w val="0.15519207569452095"/>
          <c:h val="0.7895660212284785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050" b="1">
          <a:latin typeface="Comic Sans MS" panose="030F0702030302020204" pitchFamily="66" charset="0"/>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r>
              <a:rPr lang="en-US"/>
              <a:t>PORCENTAJE MÁXIMA RENTABILIDAD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0.22313261202061971"/>
          <c:y val="0.1819047619047619"/>
          <c:w val="0.35229592703789725"/>
          <c:h val="0.69955905511811023"/>
        </c:manualLayout>
      </c:layout>
      <c:pieChart>
        <c:varyColors val="1"/>
        <c:ser>
          <c:idx val="0"/>
          <c:order val="0"/>
          <c:tx>
            <c:strRef>
              <c:f>MAXIMARENTABILIDAD!$M$13</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1A-409F-9CBE-936AA75B80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61A-409F-9CBE-936AA75B80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61A-409F-9CBE-936AA75B80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61A-409F-9CBE-936AA75B80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61A-409F-9CBE-936AA75B80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61A-409F-9CBE-936AA75B80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61A-409F-9CBE-936AA75B80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61A-409F-9CBE-936AA75B80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61A-409F-9CBE-936AA75B80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61A-409F-9CBE-936AA75B80DA}"/>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Comic Sans MS" panose="030F0702030302020204" pitchFamily="66" charset="0"/>
                    <a:ea typeface="+mn-ea"/>
                    <a:cs typeface="+mn-cs"/>
                  </a:defRPr>
                </a:pPr>
                <a:endParaRPr lang="es-MX"/>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MAXIMARENTABILIDAD!$L$14:$L$23</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MAXIMARENTABILIDAD!$M$14:$M$23</c:f>
              <c:numCache>
                <c:formatCode>0.0000000%</c:formatCode>
                <c:ptCount val="10"/>
                <c:pt idx="0">
                  <c:v>9.5906828172599989E-2</c:v>
                </c:pt>
                <c:pt idx="1">
                  <c:v>1.8086927763170824E-2</c:v>
                </c:pt>
                <c:pt idx="2">
                  <c:v>9.1765047975104412E-5</c:v>
                </c:pt>
                <c:pt idx="3">
                  <c:v>8.5257404041197887E-2</c:v>
                </c:pt>
                <c:pt idx="4">
                  <c:v>4.4613067200997655E-2</c:v>
                </c:pt>
                <c:pt idx="5">
                  <c:v>1.1998969496989458E-2</c:v>
                </c:pt>
                <c:pt idx="6">
                  <c:v>0.56759791446865526</c:v>
                </c:pt>
                <c:pt idx="7">
                  <c:v>0.10209754838734199</c:v>
                </c:pt>
                <c:pt idx="8">
                  <c:v>7.1123733726117633E-2</c:v>
                </c:pt>
                <c:pt idx="9">
                  <c:v>3.2258361459992003E-3</c:v>
                </c:pt>
              </c:numCache>
            </c:numRef>
          </c:val>
          <c:extLst>
            <c:ext xmlns:c16="http://schemas.microsoft.com/office/drawing/2014/chart" uri="{C3380CC4-5D6E-409C-BE32-E72D297353CC}">
              <c16:uniqueId val="{00000014-761A-409F-9CBE-936AA75B80D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0.77565664004229684"/>
          <c:y val="0.14813048368953885"/>
          <c:w val="0.17290734341660535"/>
          <c:h val="0.702663167104112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Comic Sans MS" panose="030F0702030302020204" pitchFamily="66" charset="0"/>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r>
              <a:rPr lang="es-MX"/>
              <a:t>MÍNIMO RIESGO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8.1042735042735042E-2"/>
          <c:y val="0.19129305555555556"/>
          <c:w val="0.47646175213675213"/>
          <c:h val="0.77425034722222219"/>
        </c:manualLayout>
      </c:layout>
      <c:pieChart>
        <c:varyColors val="1"/>
        <c:ser>
          <c:idx val="0"/>
          <c:order val="0"/>
          <c:tx>
            <c:strRef>
              <c:f>INFORME!$E$18</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20C-402C-BB26-93AE83C7FD9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20C-402C-BB26-93AE83C7FD9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20C-402C-BB26-93AE83C7FD9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20C-402C-BB26-93AE83C7FD9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20C-402C-BB26-93AE83C7FD9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20C-402C-BB26-93AE83C7FD9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20C-402C-BB26-93AE83C7FD94}"/>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20C-402C-BB26-93AE83C7FD94}"/>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20C-402C-BB26-93AE83C7FD94}"/>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20C-402C-BB26-93AE83C7FD94}"/>
              </c:ext>
            </c:extLst>
          </c:dPt>
          <c:cat>
            <c:strRef>
              <c:f>INFORME!$D$19:$D$28</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INFORME!$E$19:$E$28</c:f>
              <c:numCache>
                <c:formatCode>0.0000000%</c:formatCode>
                <c:ptCount val="10"/>
                <c:pt idx="0">
                  <c:v>2.9085964029620593E-2</c:v>
                </c:pt>
                <c:pt idx="1">
                  <c:v>3.3057121047331268E-3</c:v>
                </c:pt>
                <c:pt idx="2">
                  <c:v>1.2395473832765177E-5</c:v>
                </c:pt>
                <c:pt idx="3">
                  <c:v>3.5015266179388542E-2</c:v>
                </c:pt>
                <c:pt idx="4">
                  <c:v>2.4466916074344282E-2</c:v>
                </c:pt>
                <c:pt idx="5">
                  <c:v>5.9395832767169627E-3</c:v>
                </c:pt>
                <c:pt idx="6">
                  <c:v>0.78097571761730855</c:v>
                </c:pt>
                <c:pt idx="7">
                  <c:v>3.9153304707263664E-2</c:v>
                </c:pt>
                <c:pt idx="8">
                  <c:v>8.1859510302048411E-2</c:v>
                </c:pt>
                <c:pt idx="9">
                  <c:v>1.8563330956099486E-4</c:v>
                </c:pt>
              </c:numCache>
            </c:numRef>
          </c:val>
          <c:extLst>
            <c:ext xmlns:c16="http://schemas.microsoft.com/office/drawing/2014/chart" uri="{C3380CC4-5D6E-409C-BE32-E72D297353CC}">
              <c16:uniqueId val="{00000000-FF3E-4501-8F3C-B4CC9D217E2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64820555555555559"/>
          <c:y val="0.18564409722222228"/>
          <c:w val="0.31521303418803426"/>
          <c:h val="0.758140492855059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Comic Sans MS" panose="030F0702030302020204" pitchFamily="66" charset="0"/>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r>
              <a:rPr lang="en-US"/>
              <a:t>MÁXIMA RENTABILIDAD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8.791047008547008E-2"/>
          <c:y val="0.16007291666666668"/>
          <c:w val="0.4334100427350428"/>
          <c:h val="0.70429131944444456"/>
        </c:manualLayout>
      </c:layout>
      <c:pieChart>
        <c:varyColors val="1"/>
        <c:ser>
          <c:idx val="0"/>
          <c:order val="0"/>
          <c:tx>
            <c:strRef>
              <c:f>INFORME!$E$33</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49F-442D-8571-89BB5C4542D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49F-442D-8571-89BB5C4542D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49F-442D-8571-89BB5C4542D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49F-442D-8571-89BB5C4542D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49F-442D-8571-89BB5C4542D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49F-442D-8571-89BB5C4542D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49F-442D-8571-89BB5C4542D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49F-442D-8571-89BB5C4542D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49F-442D-8571-89BB5C4542D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49F-442D-8571-89BB5C4542DE}"/>
              </c:ext>
            </c:extLst>
          </c:dPt>
          <c:cat>
            <c:strRef>
              <c:f>INFORME!$D$34:$D$43</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INFORME!$E$34:$E$43</c:f>
              <c:numCache>
                <c:formatCode>0.0000000%</c:formatCode>
                <c:ptCount val="10"/>
                <c:pt idx="0">
                  <c:v>9.5906828172599989E-2</c:v>
                </c:pt>
                <c:pt idx="1">
                  <c:v>1.8086927763170824E-2</c:v>
                </c:pt>
                <c:pt idx="2">
                  <c:v>9.1765047975104412E-5</c:v>
                </c:pt>
                <c:pt idx="3">
                  <c:v>8.5257404041197887E-2</c:v>
                </c:pt>
                <c:pt idx="4">
                  <c:v>4.4613067200997655E-2</c:v>
                </c:pt>
                <c:pt idx="5">
                  <c:v>1.1998969496989458E-2</c:v>
                </c:pt>
                <c:pt idx="6">
                  <c:v>0.56759791446865526</c:v>
                </c:pt>
                <c:pt idx="7">
                  <c:v>0.10209754838734199</c:v>
                </c:pt>
                <c:pt idx="8">
                  <c:v>7.1123733726117633E-2</c:v>
                </c:pt>
                <c:pt idx="9">
                  <c:v>3.2258361459992003E-3</c:v>
                </c:pt>
              </c:numCache>
            </c:numRef>
          </c:val>
          <c:extLst>
            <c:ext xmlns:c16="http://schemas.microsoft.com/office/drawing/2014/chart" uri="{C3380CC4-5D6E-409C-BE32-E72D297353CC}">
              <c16:uniqueId val="{00000000-4574-46E7-ADCE-383167F44C13}"/>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64637179487179486"/>
          <c:y val="0.1632184027777778"/>
          <c:w val="0.34768376068376067"/>
          <c:h val="0.8103232638888890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Comic Sans MS" panose="030F0702030302020204" pitchFamily="66" charset="0"/>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Comic Sans MS" panose="030F0702030302020204" pitchFamily="66" charset="0"/>
              <a:ea typeface="+mn-ea"/>
              <a:cs typeface="+mn-cs"/>
            </a:defRPr>
          </a:pPr>
          <a:endParaRPr lang="es-MX"/>
        </a:p>
      </c:txPr>
    </c:title>
    <c:autoTitleDeleted val="0"/>
    <c:plotArea>
      <c:layout>
        <c:manualLayout>
          <c:layoutTarget val="inner"/>
          <c:xMode val="edge"/>
          <c:yMode val="edge"/>
          <c:x val="0.1229017094017094"/>
          <c:y val="0.21787847222222223"/>
          <c:w val="0.40806431623931622"/>
          <c:h val="0.6631045138888888"/>
        </c:manualLayout>
      </c:layout>
      <c:pieChart>
        <c:varyColors val="1"/>
        <c:ser>
          <c:idx val="0"/>
          <c:order val="0"/>
          <c:tx>
            <c:strRef>
              <c:f>INFORME!$E$47</c:f>
              <c:strCache>
                <c:ptCount val="1"/>
                <c:pt idx="0">
                  <c:v>PORCENTAJE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531-4232-B969-47DB2F8C6E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531-4232-B969-47DB2F8C6E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531-4232-B969-47DB2F8C6E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531-4232-B969-47DB2F8C6E1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531-4232-B969-47DB2F8C6E1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531-4232-B969-47DB2F8C6E1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531-4232-B969-47DB2F8C6E16}"/>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531-4232-B969-47DB2F8C6E16}"/>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E531-4232-B969-47DB2F8C6E16}"/>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E531-4232-B969-47DB2F8C6E16}"/>
              </c:ext>
            </c:extLst>
          </c:dPt>
          <c:cat>
            <c:strRef>
              <c:f>INFORME!$D$48:$D$57</c:f>
              <c:strCache>
                <c:ptCount val="10"/>
                <c:pt idx="0">
                  <c:v>BIMBO</c:v>
                </c:pt>
                <c:pt idx="1">
                  <c:v>SONY</c:v>
                </c:pt>
                <c:pt idx="2">
                  <c:v>COCA COLA</c:v>
                </c:pt>
                <c:pt idx="3">
                  <c:v>STARBUCKS</c:v>
                </c:pt>
                <c:pt idx="4">
                  <c:v>WALMART</c:v>
                </c:pt>
                <c:pt idx="5">
                  <c:v>SPOTIFY</c:v>
                </c:pt>
                <c:pt idx="6">
                  <c:v>COPPEL</c:v>
                </c:pt>
                <c:pt idx="7">
                  <c:v>KRISPY KREME</c:v>
                </c:pt>
                <c:pt idx="8">
                  <c:v>COLGATE</c:v>
                </c:pt>
                <c:pt idx="9">
                  <c:v>GAMESA</c:v>
                </c:pt>
              </c:strCache>
            </c:strRef>
          </c:cat>
          <c:val>
            <c:numRef>
              <c:f>INFORME!$E$48:$E$57</c:f>
              <c:numCache>
                <c:formatCode>0%</c:formatCode>
                <c:ptCount val="10"/>
                <c:pt idx="0">
                  <c:v>0.1</c:v>
                </c:pt>
                <c:pt idx="1">
                  <c:v>0.1</c:v>
                </c:pt>
                <c:pt idx="2">
                  <c:v>0.1</c:v>
                </c:pt>
                <c:pt idx="3">
                  <c:v>0.1</c:v>
                </c:pt>
                <c:pt idx="4">
                  <c:v>0.1</c:v>
                </c:pt>
                <c:pt idx="5">
                  <c:v>0.1</c:v>
                </c:pt>
                <c:pt idx="6">
                  <c:v>0.1</c:v>
                </c:pt>
                <c:pt idx="7">
                  <c:v>0.1</c:v>
                </c:pt>
                <c:pt idx="8">
                  <c:v>0.1</c:v>
                </c:pt>
                <c:pt idx="9">
                  <c:v>0.1</c:v>
                </c:pt>
              </c:numCache>
            </c:numRef>
          </c:val>
          <c:extLst>
            <c:ext xmlns:c16="http://schemas.microsoft.com/office/drawing/2014/chart" uri="{C3380CC4-5D6E-409C-BE32-E72D297353CC}">
              <c16:uniqueId val="{00000000-3A14-4E6F-978B-6D54FA731A74}"/>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62480235042735044"/>
          <c:y val="0.15447812500000002"/>
          <c:w val="0.35045940170940165"/>
          <c:h val="0.760417760279964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Comic Sans MS" panose="030F0702030302020204" pitchFamily="66"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Comic Sans MS" panose="030F0702030302020204" pitchFamily="66" charset="0"/>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hyperlink" Target="#INFORME!A1"/><Relationship Id="rId18" Type="http://schemas.openxmlformats.org/officeDocument/2006/relationships/image" Target="../media/image16.svg"/><Relationship Id="rId26" Type="http://schemas.openxmlformats.org/officeDocument/2006/relationships/hyperlink" Target="#'GRAFICA MINIMO RIESGO'!A1"/><Relationship Id="rId3" Type="http://schemas.openxmlformats.org/officeDocument/2006/relationships/image" Target="../media/image6.svg"/><Relationship Id="rId21" Type="http://schemas.openxmlformats.org/officeDocument/2006/relationships/image" Target="../media/image18.svg"/><Relationship Id="rId7" Type="http://schemas.openxmlformats.org/officeDocument/2006/relationships/hyperlink" Target="#MEDIDASESTADISTICAS!A1"/><Relationship Id="rId12" Type="http://schemas.openxmlformats.org/officeDocument/2006/relationships/image" Target="../media/image12.svg"/><Relationship Id="rId17" Type="http://schemas.openxmlformats.org/officeDocument/2006/relationships/image" Target="../media/image15.png"/><Relationship Id="rId25" Type="http://schemas.openxmlformats.org/officeDocument/2006/relationships/hyperlink" Target="#'GRAFICA GENERAL'!A1"/><Relationship Id="rId2" Type="http://schemas.openxmlformats.org/officeDocument/2006/relationships/image" Target="../media/image5.png"/><Relationship Id="rId16" Type="http://schemas.openxmlformats.org/officeDocument/2006/relationships/hyperlink" Target="#MAXIMARENTABILIDAD!A1"/><Relationship Id="rId20" Type="http://schemas.openxmlformats.org/officeDocument/2006/relationships/image" Target="../media/image17.png"/><Relationship Id="rId29" Type="http://schemas.openxmlformats.org/officeDocument/2006/relationships/hyperlink" Target="#DESCRIPCIONES!A1"/><Relationship Id="rId1" Type="http://schemas.openxmlformats.org/officeDocument/2006/relationships/hyperlink" Target="#EMPRESAS!A1"/><Relationship Id="rId6" Type="http://schemas.openxmlformats.org/officeDocument/2006/relationships/image" Target="../media/image8.svg"/><Relationship Id="rId11" Type="http://schemas.openxmlformats.org/officeDocument/2006/relationships/image" Target="../media/image11.png"/><Relationship Id="rId24" Type="http://schemas.openxmlformats.org/officeDocument/2006/relationships/image" Target="../media/image20.svg"/><Relationship Id="rId5" Type="http://schemas.openxmlformats.org/officeDocument/2006/relationships/image" Target="../media/image7.png"/><Relationship Id="rId15" Type="http://schemas.openxmlformats.org/officeDocument/2006/relationships/image" Target="../media/image14.svg"/><Relationship Id="rId23" Type="http://schemas.openxmlformats.org/officeDocument/2006/relationships/image" Target="../media/image19.png"/><Relationship Id="rId28" Type="http://schemas.openxmlformats.org/officeDocument/2006/relationships/hyperlink" Target="#MINIMORIESGO!A1"/><Relationship Id="rId10" Type="http://schemas.openxmlformats.org/officeDocument/2006/relationships/hyperlink" Target="#MATRICES!A1"/><Relationship Id="rId19" Type="http://schemas.openxmlformats.org/officeDocument/2006/relationships/hyperlink" Target="#MENU!A1"/><Relationship Id="rId31" Type="http://schemas.openxmlformats.org/officeDocument/2006/relationships/image" Target="../media/image22.svg"/><Relationship Id="rId4" Type="http://schemas.openxmlformats.org/officeDocument/2006/relationships/hyperlink" Target="#RENDIMIENTOS!A1"/><Relationship Id="rId9" Type="http://schemas.openxmlformats.org/officeDocument/2006/relationships/image" Target="../media/image10.svg"/><Relationship Id="rId14" Type="http://schemas.openxmlformats.org/officeDocument/2006/relationships/image" Target="../media/image13.png"/><Relationship Id="rId22" Type="http://schemas.openxmlformats.org/officeDocument/2006/relationships/hyperlink" Target="#'GRAFICA MAXIMA RENTABILIDAD'!A1"/><Relationship Id="rId27" Type="http://schemas.openxmlformats.org/officeDocument/2006/relationships/hyperlink" Target="#'PONDERACIONES IGUALES'!A1"/><Relationship Id="rId30"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7.svg"/><Relationship Id="rId5" Type="http://schemas.openxmlformats.org/officeDocument/2006/relationships/image" Target="../media/image26.png"/><Relationship Id="rId4" Type="http://schemas.openxmlformats.org/officeDocument/2006/relationships/hyperlink" Target="#MENU!A1"/></Relationships>
</file>

<file path=xl/drawings/_rels/drawing5.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image" Target="../media/image29.svg"/><Relationship Id="rId2" Type="http://schemas.openxmlformats.org/officeDocument/2006/relationships/image" Target="../media/image28.png"/><Relationship Id="rId1" Type="http://schemas.openxmlformats.org/officeDocument/2006/relationships/hyperlink" Target="#'GRAFICA GENERAL'!A1"/><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image" Target="../media/image29.svg"/><Relationship Id="rId2" Type="http://schemas.openxmlformats.org/officeDocument/2006/relationships/image" Target="../media/image28.png"/><Relationship Id="rId1" Type="http://schemas.openxmlformats.org/officeDocument/2006/relationships/hyperlink" Target="#'GRAFICA MINIMO RIESGO'!A1"/><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image" Target="../media/image29.svg"/><Relationship Id="rId2" Type="http://schemas.openxmlformats.org/officeDocument/2006/relationships/image" Target="../media/image28.png"/><Relationship Id="rId1" Type="http://schemas.openxmlformats.org/officeDocument/2006/relationships/hyperlink" Target="#'GRAFICA MAXIMA RENTABILIDAD'!A1"/><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MENU!A1"/><Relationship Id="rId1" Type="http://schemas.openxmlformats.org/officeDocument/2006/relationships/chart" Target="../charts/chart1.xml"/><Relationship Id="rId4" Type="http://schemas.openxmlformats.org/officeDocument/2006/relationships/image" Target="../media/image2.svg"/></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MENU!A1"/><Relationship Id="rId1" Type="http://schemas.openxmlformats.org/officeDocument/2006/relationships/chart" Target="../charts/chart2.xml"/><Relationship Id="rId4" Type="http://schemas.openxmlformats.org/officeDocument/2006/relationships/image" Target="../media/image2.sv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MENU!A1"/><Relationship Id="rId1" Type="http://schemas.openxmlformats.org/officeDocument/2006/relationships/chart" Target="../charts/chart3.xml"/><Relationship Id="rId4" Type="http://schemas.openxmlformats.org/officeDocument/2006/relationships/image" Target="../media/image2.svg"/></Relationships>
</file>

<file path=xl/drawings/_rels/drawing1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editAs="oneCell">
    <xdr:from>
      <xdr:col>17</xdr:col>
      <xdr:colOff>142875</xdr:colOff>
      <xdr:row>9</xdr:row>
      <xdr:rowOff>85725</xdr:rowOff>
    </xdr:from>
    <xdr:to>
      <xdr:col>18</xdr:col>
      <xdr:colOff>219076</xdr:colOff>
      <xdr:row>11</xdr:row>
      <xdr:rowOff>141797</xdr:rowOff>
    </xdr:to>
    <xdr:pic>
      <xdr:nvPicPr>
        <xdr:cNvPr id="2" name="Gráfico 1" descr="Hogar con relleno sólido">
          <a:hlinkClick xmlns:r="http://schemas.openxmlformats.org/officeDocument/2006/relationships" r:id="rId1"/>
          <a:extLst>
            <a:ext uri="{FF2B5EF4-FFF2-40B4-BE49-F238E27FC236}">
              <a16:creationId xmlns:a16="http://schemas.microsoft.com/office/drawing/2014/main" id="{0EF54CEA-78D5-41FF-AC00-37C11F12C56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096875" y="3686175"/>
          <a:ext cx="838201" cy="856172"/>
        </a:xfrm>
        <a:prstGeom prst="rect">
          <a:avLst/>
        </a:prstGeom>
      </xdr:spPr>
    </xdr:pic>
    <xdr:clientData/>
  </xdr:twoCellAnchor>
  <xdr:twoCellAnchor editAs="oneCell">
    <xdr:from>
      <xdr:col>17</xdr:col>
      <xdr:colOff>19050</xdr:colOff>
      <xdr:row>0</xdr:row>
      <xdr:rowOff>0</xdr:rowOff>
    </xdr:from>
    <xdr:to>
      <xdr:col>19</xdr:col>
      <xdr:colOff>191927</xdr:colOff>
      <xdr:row>4</xdr:row>
      <xdr:rowOff>342900</xdr:rowOff>
    </xdr:to>
    <xdr:pic>
      <xdr:nvPicPr>
        <xdr:cNvPr id="4" name="Imagen 3" descr="Convocatorias Fes Acatlan - Unam Canadá">
          <a:extLst>
            <a:ext uri="{FF2B5EF4-FFF2-40B4-BE49-F238E27FC236}">
              <a16:creationId xmlns:a16="http://schemas.microsoft.com/office/drawing/2014/main" id="{481CBA25-74C1-C66C-FCFC-53245006AB14}"/>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700" t="6350" r="12687" b="5278"/>
        <a:stretch/>
      </xdr:blipFill>
      <xdr:spPr bwMode="auto">
        <a:xfrm>
          <a:off x="12973050" y="0"/>
          <a:ext cx="1696877" cy="200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104775</xdr:colOff>
      <xdr:row>0</xdr:row>
      <xdr:rowOff>9525</xdr:rowOff>
    </xdr:from>
    <xdr:to>
      <xdr:col>2</xdr:col>
      <xdr:colOff>380775</xdr:colOff>
      <xdr:row>4</xdr:row>
      <xdr:rowOff>365921</xdr:rowOff>
    </xdr:to>
    <xdr:pic>
      <xdr:nvPicPr>
        <xdr:cNvPr id="5" name="Imagen 4">
          <a:extLst>
            <a:ext uri="{FF2B5EF4-FFF2-40B4-BE49-F238E27FC236}">
              <a16:creationId xmlns:a16="http://schemas.microsoft.com/office/drawing/2014/main" id="{16B1C356-C77B-CB00-03EB-16275D1011FB}"/>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4775" y="9525"/>
          <a:ext cx="1800000" cy="20232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685800</xdr:colOff>
      <xdr:row>3</xdr:row>
      <xdr:rowOff>136523</xdr:rowOff>
    </xdr:from>
    <xdr:to>
      <xdr:col>2</xdr:col>
      <xdr:colOff>61800</xdr:colOff>
      <xdr:row>8</xdr:row>
      <xdr:rowOff>75477</xdr:rowOff>
    </xdr:to>
    <xdr:pic>
      <xdr:nvPicPr>
        <xdr:cNvPr id="2" name="Gráfico 1" descr="Calendario mensual con relleno sólido">
          <a:hlinkClick xmlns:r="http://schemas.openxmlformats.org/officeDocument/2006/relationships" r:id="rId1"/>
          <a:extLst>
            <a:ext uri="{FF2B5EF4-FFF2-40B4-BE49-F238E27FC236}">
              <a16:creationId xmlns:a16="http://schemas.microsoft.com/office/drawing/2014/main" id="{7FCD55AC-85B7-4AC5-ACDD-48E11CA1B5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85800" y="965198"/>
          <a:ext cx="900000" cy="986704"/>
        </a:xfrm>
        <a:prstGeom prst="rect">
          <a:avLst/>
        </a:prstGeom>
      </xdr:spPr>
    </xdr:pic>
    <xdr:clientData/>
  </xdr:twoCellAnchor>
  <xdr:twoCellAnchor editAs="oneCell">
    <xdr:from>
      <xdr:col>0</xdr:col>
      <xdr:colOff>695325</xdr:colOff>
      <xdr:row>9</xdr:row>
      <xdr:rowOff>133350</xdr:rowOff>
    </xdr:from>
    <xdr:to>
      <xdr:col>2</xdr:col>
      <xdr:colOff>71325</xdr:colOff>
      <xdr:row>14</xdr:row>
      <xdr:rowOff>67167</xdr:rowOff>
    </xdr:to>
    <xdr:pic>
      <xdr:nvPicPr>
        <xdr:cNvPr id="3" name="Gráfico 2" descr="Gráfico de barras con tendencia alcista con relleno sólido">
          <a:hlinkClick xmlns:r="http://schemas.openxmlformats.org/officeDocument/2006/relationships" r:id="rId4"/>
          <a:extLst>
            <a:ext uri="{FF2B5EF4-FFF2-40B4-BE49-F238E27FC236}">
              <a16:creationId xmlns:a16="http://schemas.microsoft.com/office/drawing/2014/main" id="{59BEEF96-1777-4AA9-B785-9CFD172470A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95325" y="2200275"/>
          <a:ext cx="900000" cy="981567"/>
        </a:xfrm>
        <a:prstGeom prst="rect">
          <a:avLst/>
        </a:prstGeom>
      </xdr:spPr>
    </xdr:pic>
    <xdr:clientData/>
  </xdr:twoCellAnchor>
  <xdr:twoCellAnchor editAs="oneCell">
    <xdr:from>
      <xdr:col>0</xdr:col>
      <xdr:colOff>676275</xdr:colOff>
      <xdr:row>14</xdr:row>
      <xdr:rowOff>114300</xdr:rowOff>
    </xdr:from>
    <xdr:to>
      <xdr:col>2</xdr:col>
      <xdr:colOff>52275</xdr:colOff>
      <xdr:row>19</xdr:row>
      <xdr:rowOff>53636</xdr:rowOff>
    </xdr:to>
    <xdr:pic>
      <xdr:nvPicPr>
        <xdr:cNvPr id="4" name="Gráfico 3" descr="Distribución normal con relleno sólido">
          <a:hlinkClick xmlns:r="http://schemas.openxmlformats.org/officeDocument/2006/relationships" r:id="rId7"/>
          <a:extLst>
            <a:ext uri="{FF2B5EF4-FFF2-40B4-BE49-F238E27FC236}">
              <a16:creationId xmlns:a16="http://schemas.microsoft.com/office/drawing/2014/main" id="{C7B4CB81-46A0-4BB7-8880-B129ADA5507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76275" y="3228975"/>
          <a:ext cx="900000" cy="987086"/>
        </a:xfrm>
        <a:prstGeom prst="rect">
          <a:avLst/>
        </a:prstGeom>
      </xdr:spPr>
    </xdr:pic>
    <xdr:clientData/>
  </xdr:twoCellAnchor>
  <xdr:twoCellAnchor editAs="oneCell">
    <xdr:from>
      <xdr:col>3</xdr:col>
      <xdr:colOff>657226</xdr:colOff>
      <xdr:row>3</xdr:row>
      <xdr:rowOff>171450</xdr:rowOff>
    </xdr:from>
    <xdr:to>
      <xdr:col>4</xdr:col>
      <xdr:colOff>704497</xdr:colOff>
      <xdr:row>8</xdr:row>
      <xdr:rowOff>23700</xdr:rowOff>
    </xdr:to>
    <xdr:pic>
      <xdr:nvPicPr>
        <xdr:cNvPr id="5" name="Gráfico 4" descr="Calculadora con relleno sólido">
          <a:hlinkClick xmlns:r="http://schemas.openxmlformats.org/officeDocument/2006/relationships" r:id="rId10"/>
          <a:extLst>
            <a:ext uri="{FF2B5EF4-FFF2-40B4-BE49-F238E27FC236}">
              <a16:creationId xmlns:a16="http://schemas.microsoft.com/office/drawing/2014/main" id="{06D95D4E-B0EB-4BA6-92BB-D213105BDC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67151" y="1038225"/>
          <a:ext cx="809271" cy="900000"/>
        </a:xfrm>
        <a:prstGeom prst="rect">
          <a:avLst/>
        </a:prstGeom>
      </xdr:spPr>
    </xdr:pic>
    <xdr:clientData/>
  </xdr:twoCellAnchor>
  <xdr:twoCellAnchor editAs="oneCell">
    <xdr:from>
      <xdr:col>10</xdr:col>
      <xdr:colOff>19050</xdr:colOff>
      <xdr:row>10</xdr:row>
      <xdr:rowOff>1</xdr:rowOff>
    </xdr:from>
    <xdr:to>
      <xdr:col>11</xdr:col>
      <xdr:colOff>5080</xdr:colOff>
      <xdr:row>13</xdr:row>
      <xdr:rowOff>199351</xdr:rowOff>
    </xdr:to>
    <xdr:pic>
      <xdr:nvPicPr>
        <xdr:cNvPr id="6" name="Gráfico 5" descr="Documento con relleno sólido">
          <a:hlinkClick xmlns:r="http://schemas.openxmlformats.org/officeDocument/2006/relationships" r:id="rId13"/>
          <a:extLst>
            <a:ext uri="{FF2B5EF4-FFF2-40B4-BE49-F238E27FC236}">
              <a16:creationId xmlns:a16="http://schemas.microsoft.com/office/drawing/2014/main" id="{85CDB12E-787B-42F3-9C42-B80165719AC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563350" y="2266951"/>
          <a:ext cx="748030" cy="828000"/>
        </a:xfrm>
        <a:prstGeom prst="rect">
          <a:avLst/>
        </a:prstGeom>
      </xdr:spPr>
    </xdr:pic>
    <xdr:clientData/>
  </xdr:twoCellAnchor>
  <xdr:twoCellAnchor editAs="oneCell">
    <xdr:from>
      <xdr:col>6</xdr:col>
      <xdr:colOff>685802</xdr:colOff>
      <xdr:row>4</xdr:row>
      <xdr:rowOff>0</xdr:rowOff>
    </xdr:from>
    <xdr:to>
      <xdr:col>7</xdr:col>
      <xdr:colOff>672596</xdr:colOff>
      <xdr:row>7</xdr:row>
      <xdr:rowOff>199350</xdr:rowOff>
    </xdr:to>
    <xdr:pic>
      <xdr:nvPicPr>
        <xdr:cNvPr id="8" name="Gráfico 7" descr="Dólar con relleno sólido">
          <a:hlinkClick xmlns:r="http://schemas.openxmlformats.org/officeDocument/2006/relationships" r:id="rId16"/>
          <a:extLst>
            <a:ext uri="{FF2B5EF4-FFF2-40B4-BE49-F238E27FC236}">
              <a16:creationId xmlns:a16="http://schemas.microsoft.com/office/drawing/2014/main" id="{B2DE76F8-964E-4B9D-A9A7-99AE9F6FF5F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419977" y="1028700"/>
          <a:ext cx="748794" cy="828000"/>
        </a:xfrm>
        <a:prstGeom prst="rect">
          <a:avLst/>
        </a:prstGeom>
      </xdr:spPr>
    </xdr:pic>
    <xdr:clientData/>
  </xdr:twoCellAnchor>
  <xdr:twoCellAnchor editAs="oneCell">
    <xdr:from>
      <xdr:col>11</xdr:col>
      <xdr:colOff>314324</xdr:colOff>
      <xdr:row>0</xdr:row>
      <xdr:rowOff>228600</xdr:rowOff>
    </xdr:from>
    <xdr:to>
      <xdr:col>11</xdr:col>
      <xdr:colOff>1152525</xdr:colOff>
      <xdr:row>4</xdr:row>
      <xdr:rowOff>17972</xdr:rowOff>
    </xdr:to>
    <xdr:pic>
      <xdr:nvPicPr>
        <xdr:cNvPr id="10" name="Gráfico 9" descr="Hogar con relleno sólido">
          <a:hlinkClick xmlns:r="http://schemas.openxmlformats.org/officeDocument/2006/relationships" r:id="rId19"/>
          <a:extLst>
            <a:ext uri="{FF2B5EF4-FFF2-40B4-BE49-F238E27FC236}">
              <a16:creationId xmlns:a16="http://schemas.microsoft.com/office/drawing/2014/main" id="{022B576C-4016-4532-8CA8-8969753E46B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2620624" y="228600"/>
          <a:ext cx="838201" cy="856172"/>
        </a:xfrm>
        <a:prstGeom prst="rect">
          <a:avLst/>
        </a:prstGeom>
      </xdr:spPr>
    </xdr:pic>
    <xdr:clientData/>
  </xdr:twoCellAnchor>
  <xdr:twoCellAnchor editAs="oneCell">
    <xdr:from>
      <xdr:col>9</xdr:col>
      <xdr:colOff>714376</xdr:colOff>
      <xdr:row>4</xdr:row>
      <xdr:rowOff>0</xdr:rowOff>
    </xdr:from>
    <xdr:to>
      <xdr:col>11</xdr:col>
      <xdr:colOff>16776</xdr:colOff>
      <xdr:row>8</xdr:row>
      <xdr:rowOff>52275</xdr:rowOff>
    </xdr:to>
    <xdr:pic>
      <xdr:nvPicPr>
        <xdr:cNvPr id="12" name="Gráfico 11" descr="Gráfico circular con relleno sólido">
          <a:hlinkClick xmlns:r="http://schemas.openxmlformats.org/officeDocument/2006/relationships" r:id="rId22"/>
          <a:extLst>
            <a:ext uri="{FF2B5EF4-FFF2-40B4-BE49-F238E27FC236}">
              <a16:creationId xmlns:a16="http://schemas.microsoft.com/office/drawing/2014/main" id="{37404D38-5A90-4B1D-8AF8-CD8430C99D8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496676" y="1028700"/>
          <a:ext cx="826400" cy="900000"/>
        </a:xfrm>
        <a:prstGeom prst="rect">
          <a:avLst/>
        </a:prstGeom>
      </xdr:spPr>
    </xdr:pic>
    <xdr:clientData/>
  </xdr:twoCellAnchor>
  <xdr:twoCellAnchor editAs="oneCell">
    <xdr:from>
      <xdr:col>7</xdr:col>
      <xdr:colOff>0</xdr:colOff>
      <xdr:row>9</xdr:row>
      <xdr:rowOff>190500</xdr:rowOff>
    </xdr:from>
    <xdr:to>
      <xdr:col>8</xdr:col>
      <xdr:colOff>64400</xdr:colOff>
      <xdr:row>14</xdr:row>
      <xdr:rowOff>42750</xdr:rowOff>
    </xdr:to>
    <xdr:pic>
      <xdr:nvPicPr>
        <xdr:cNvPr id="14" name="Gráfico 13" descr="Gráfico circular con relleno sólido">
          <a:hlinkClick xmlns:r="http://schemas.openxmlformats.org/officeDocument/2006/relationships" r:id="rId25"/>
          <a:extLst>
            <a:ext uri="{FF2B5EF4-FFF2-40B4-BE49-F238E27FC236}">
              <a16:creationId xmlns:a16="http://schemas.microsoft.com/office/drawing/2014/main" id="{83A18C30-B9DB-408C-B931-7F139A018A9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96175" y="2257425"/>
          <a:ext cx="826400" cy="900000"/>
        </a:xfrm>
        <a:prstGeom prst="rect">
          <a:avLst/>
        </a:prstGeom>
      </xdr:spPr>
    </xdr:pic>
    <xdr:clientData/>
  </xdr:twoCellAnchor>
  <xdr:twoCellAnchor editAs="oneCell">
    <xdr:from>
      <xdr:col>6</xdr:col>
      <xdr:colOff>733425</xdr:colOff>
      <xdr:row>15</xdr:row>
      <xdr:rowOff>0</xdr:rowOff>
    </xdr:from>
    <xdr:to>
      <xdr:col>8</xdr:col>
      <xdr:colOff>35825</xdr:colOff>
      <xdr:row>19</xdr:row>
      <xdr:rowOff>52275</xdr:rowOff>
    </xdr:to>
    <xdr:pic>
      <xdr:nvPicPr>
        <xdr:cNvPr id="15" name="Gráfico 14" descr="Gráfico circular con relleno sólido">
          <a:hlinkClick xmlns:r="http://schemas.openxmlformats.org/officeDocument/2006/relationships" r:id="rId26"/>
          <a:extLst>
            <a:ext uri="{FF2B5EF4-FFF2-40B4-BE49-F238E27FC236}">
              <a16:creationId xmlns:a16="http://schemas.microsoft.com/office/drawing/2014/main" id="{DAC5ED02-1DA7-4862-AD2D-95EBBFCF23C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67600" y="3314700"/>
          <a:ext cx="826400" cy="900000"/>
        </a:xfrm>
        <a:prstGeom prst="rect">
          <a:avLst/>
        </a:prstGeom>
      </xdr:spPr>
    </xdr:pic>
    <xdr:clientData/>
  </xdr:twoCellAnchor>
  <xdr:twoCellAnchor editAs="oneCell">
    <xdr:from>
      <xdr:col>3</xdr:col>
      <xdr:colOff>695325</xdr:colOff>
      <xdr:row>10</xdr:row>
      <xdr:rowOff>19050</xdr:rowOff>
    </xdr:from>
    <xdr:to>
      <xdr:col>4</xdr:col>
      <xdr:colOff>682119</xdr:colOff>
      <xdr:row>13</xdr:row>
      <xdr:rowOff>218400</xdr:rowOff>
    </xdr:to>
    <xdr:pic>
      <xdr:nvPicPr>
        <xdr:cNvPr id="16" name="Gráfico 15" descr="Dólar con relleno sólido">
          <a:hlinkClick xmlns:r="http://schemas.openxmlformats.org/officeDocument/2006/relationships" r:id="rId27"/>
          <a:extLst>
            <a:ext uri="{FF2B5EF4-FFF2-40B4-BE49-F238E27FC236}">
              <a16:creationId xmlns:a16="http://schemas.microsoft.com/office/drawing/2014/main" id="{D40CA022-679B-4046-8E5E-1E2D0066CC8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905250" y="2286000"/>
          <a:ext cx="748794" cy="828000"/>
        </a:xfrm>
        <a:prstGeom prst="rect">
          <a:avLst/>
        </a:prstGeom>
      </xdr:spPr>
    </xdr:pic>
    <xdr:clientData/>
  </xdr:twoCellAnchor>
  <xdr:twoCellAnchor editAs="oneCell">
    <xdr:from>
      <xdr:col>3</xdr:col>
      <xdr:colOff>676275</xdr:colOff>
      <xdr:row>15</xdr:row>
      <xdr:rowOff>0</xdr:rowOff>
    </xdr:from>
    <xdr:to>
      <xdr:col>4</xdr:col>
      <xdr:colOff>663069</xdr:colOff>
      <xdr:row>18</xdr:row>
      <xdr:rowOff>199350</xdr:rowOff>
    </xdr:to>
    <xdr:pic>
      <xdr:nvPicPr>
        <xdr:cNvPr id="17" name="Gráfico 16" descr="Dólar con relleno sólido">
          <a:hlinkClick xmlns:r="http://schemas.openxmlformats.org/officeDocument/2006/relationships" r:id="rId28"/>
          <a:extLst>
            <a:ext uri="{FF2B5EF4-FFF2-40B4-BE49-F238E27FC236}">
              <a16:creationId xmlns:a16="http://schemas.microsoft.com/office/drawing/2014/main" id="{DCBBCD6B-E19C-4063-A58D-B9E37750C53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886200" y="3352800"/>
          <a:ext cx="748794" cy="828000"/>
        </a:xfrm>
        <a:prstGeom prst="rect">
          <a:avLst/>
        </a:prstGeom>
      </xdr:spPr>
    </xdr:pic>
    <xdr:clientData/>
  </xdr:twoCellAnchor>
  <xdr:twoCellAnchor editAs="oneCell">
    <xdr:from>
      <xdr:col>9</xdr:col>
      <xdr:colOff>704850</xdr:colOff>
      <xdr:row>15</xdr:row>
      <xdr:rowOff>9525</xdr:rowOff>
    </xdr:from>
    <xdr:to>
      <xdr:col>11</xdr:col>
      <xdr:colOff>80850</xdr:colOff>
      <xdr:row>19</xdr:row>
      <xdr:rowOff>61800</xdr:rowOff>
    </xdr:to>
    <xdr:pic>
      <xdr:nvPicPr>
        <xdr:cNvPr id="23" name="Gráfico 22" descr="Información con relleno sólido">
          <a:hlinkClick xmlns:r="http://schemas.openxmlformats.org/officeDocument/2006/relationships" r:id="rId29"/>
          <a:extLst>
            <a:ext uri="{FF2B5EF4-FFF2-40B4-BE49-F238E27FC236}">
              <a16:creationId xmlns:a16="http://schemas.microsoft.com/office/drawing/2014/main" id="{423A1D96-082B-FDD1-D0B1-07CF3FC7E20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1487150" y="3362325"/>
          <a:ext cx="900000" cy="90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0</xdr:col>
      <xdr:colOff>876301</xdr:colOff>
      <xdr:row>0</xdr:row>
      <xdr:rowOff>856172</xdr:rowOff>
    </xdr:to>
    <xdr:pic>
      <xdr:nvPicPr>
        <xdr:cNvPr id="2" name="Gráfico 1" descr="Hogar con relleno sólido">
          <a:hlinkClick xmlns:r="http://schemas.openxmlformats.org/officeDocument/2006/relationships" r:id="rId1"/>
          <a:extLst>
            <a:ext uri="{FF2B5EF4-FFF2-40B4-BE49-F238E27FC236}">
              <a16:creationId xmlns:a16="http://schemas.microsoft.com/office/drawing/2014/main" id="{F9B0F135-CAEC-4AEF-B9FB-30B3964F52B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838201" cy="8561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866774</xdr:colOff>
      <xdr:row>3</xdr:row>
      <xdr:rowOff>19046</xdr:rowOff>
    </xdr:from>
    <xdr:to>
      <xdr:col>4</xdr:col>
      <xdr:colOff>664574</xdr:colOff>
      <xdr:row>3</xdr:row>
      <xdr:rowOff>919046</xdr:rowOff>
    </xdr:to>
    <xdr:sp macro="[0]!ElegirEmpresa" textlink="">
      <xdr:nvSpPr>
        <xdr:cNvPr id="3" name="Rectángulo: esquinas redondeadas 2">
          <a:extLst>
            <a:ext uri="{FF2B5EF4-FFF2-40B4-BE49-F238E27FC236}">
              <a16:creationId xmlns:a16="http://schemas.microsoft.com/office/drawing/2014/main" id="{93E760CE-012C-6CFA-A2F9-BD2C4D8D1D2B}"/>
            </a:ext>
          </a:extLst>
        </xdr:cNvPr>
        <xdr:cNvSpPr/>
      </xdr:nvSpPr>
      <xdr:spPr>
        <a:xfrm>
          <a:off x="2971799" y="609596"/>
          <a:ext cx="2160000" cy="900000"/>
        </a:xfrm>
        <a:prstGeom prst="roundRect">
          <a:avLst/>
        </a:prstGeom>
        <a:solidFill>
          <a:srgbClr val="4DD34D"/>
        </a:solidFill>
        <a:ln>
          <a:solidFill>
            <a:srgbClr val="66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002060"/>
              </a:solidFill>
              <a:latin typeface="Comic Sans MS" panose="030F0702030302020204" pitchFamily="66" charset="0"/>
            </a:rPr>
            <a:t>COPIAR RENDIMIENTOS DE LA EMPRESA</a:t>
          </a:r>
        </a:p>
      </xdr:txBody>
    </xdr:sp>
    <xdr:clientData/>
  </xdr:twoCellAnchor>
  <xdr:twoCellAnchor>
    <xdr:from>
      <xdr:col>6</xdr:col>
      <xdr:colOff>390525</xdr:colOff>
      <xdr:row>3</xdr:row>
      <xdr:rowOff>19048</xdr:rowOff>
    </xdr:from>
    <xdr:to>
      <xdr:col>8</xdr:col>
      <xdr:colOff>188325</xdr:colOff>
      <xdr:row>3</xdr:row>
      <xdr:rowOff>919048</xdr:rowOff>
    </xdr:to>
    <xdr:sp macro="[0]!ElegirEmpresaBorrar" textlink="">
      <xdr:nvSpPr>
        <xdr:cNvPr id="9" name="Rectángulo: esquinas redondeadas 8">
          <a:extLst>
            <a:ext uri="{FF2B5EF4-FFF2-40B4-BE49-F238E27FC236}">
              <a16:creationId xmlns:a16="http://schemas.microsoft.com/office/drawing/2014/main" id="{BF22CED2-85AB-41CE-AD2A-2EC262EDACF9}"/>
            </a:ext>
          </a:extLst>
        </xdr:cNvPr>
        <xdr:cNvSpPr/>
      </xdr:nvSpPr>
      <xdr:spPr>
        <a:xfrm>
          <a:off x="7219950" y="609598"/>
          <a:ext cx="2160000" cy="900000"/>
        </a:xfrm>
        <a:prstGeom prst="roundRect">
          <a:avLst/>
        </a:prstGeom>
        <a:solidFill>
          <a:srgbClr val="E74FDC"/>
        </a:solidFill>
        <a:ln>
          <a:solidFill>
            <a:srgbClr val="E74FD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002060"/>
              </a:solidFill>
              <a:latin typeface="Comic Sans MS" panose="030F0702030302020204" pitchFamily="66" charset="0"/>
            </a:rPr>
            <a:t>BORRAR RENDIMIENTOS DE LA EMPRESA</a:t>
          </a:r>
        </a:p>
      </xdr:txBody>
    </xdr:sp>
    <xdr:clientData/>
  </xdr:twoCellAnchor>
  <xdr:twoCellAnchor>
    <xdr:from>
      <xdr:col>11</xdr:col>
      <xdr:colOff>495297</xdr:colOff>
      <xdr:row>0</xdr:row>
      <xdr:rowOff>104775</xdr:rowOff>
    </xdr:from>
    <xdr:to>
      <xdr:col>18</xdr:col>
      <xdr:colOff>657224</xdr:colOff>
      <xdr:row>3</xdr:row>
      <xdr:rowOff>923925</xdr:rowOff>
    </xdr:to>
    <xdr:sp macro="" textlink="">
      <xdr:nvSpPr>
        <xdr:cNvPr id="11" name="Rectángulo: esquinas redondeadas 10">
          <a:extLst>
            <a:ext uri="{FF2B5EF4-FFF2-40B4-BE49-F238E27FC236}">
              <a16:creationId xmlns:a16="http://schemas.microsoft.com/office/drawing/2014/main" id="{178C1B5D-9036-41E9-B29A-EB63EF967E76}"/>
            </a:ext>
          </a:extLst>
        </xdr:cNvPr>
        <xdr:cNvSpPr/>
      </xdr:nvSpPr>
      <xdr:spPr>
        <a:xfrm>
          <a:off x="13230222" y="104775"/>
          <a:ext cx="5495927" cy="1409700"/>
        </a:xfrm>
        <a:prstGeom prst="roundRect">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rgbClr val="002060"/>
              </a:solidFill>
              <a:latin typeface="Comic Sans MS" panose="030F0702030302020204" pitchFamily="66" charset="0"/>
            </a:rPr>
            <a:t>Selecciona una Empresa de la lista despegable</a:t>
          </a:r>
          <a:r>
            <a:rPr lang="es-MX" sz="1100" b="1" baseline="0">
              <a:solidFill>
                <a:srgbClr val="002060"/>
              </a:solidFill>
              <a:latin typeface="Comic Sans MS" panose="030F0702030302020204" pitchFamily="66" charset="0"/>
            </a:rPr>
            <a:t> y selecciona</a:t>
          </a:r>
          <a:r>
            <a:rPr lang="es-MX" sz="1100" b="1">
              <a:solidFill>
                <a:srgbClr val="002060"/>
              </a:solidFill>
              <a:latin typeface="Comic Sans MS" panose="030F0702030302020204" pitchFamily="66" charset="0"/>
            </a:rPr>
            <a:t> la celda que contenga el nombre de la empresa</a:t>
          </a:r>
          <a:r>
            <a:rPr lang="es-MX" sz="1100" b="1" baseline="0">
              <a:solidFill>
                <a:srgbClr val="002060"/>
              </a:solidFill>
              <a:latin typeface="Comic Sans MS" panose="030F0702030302020204" pitchFamily="66" charset="0"/>
            </a:rPr>
            <a:t> de la cual requieres los rendimientos, después da click al botón </a:t>
          </a:r>
          <a:r>
            <a:rPr lang="es-MX" sz="1400" b="1" baseline="0">
              <a:solidFill>
                <a:srgbClr val="4DD34D"/>
              </a:solidFill>
              <a:latin typeface="Comic Sans MS" panose="030F0702030302020204" pitchFamily="66" charset="0"/>
            </a:rPr>
            <a:t>verde.</a:t>
          </a:r>
        </a:p>
        <a:p>
          <a:pPr algn="ctr"/>
          <a:r>
            <a:rPr lang="es-MX" sz="1400" b="1" baseline="0">
              <a:solidFill>
                <a:srgbClr val="C00000"/>
              </a:solidFill>
              <a:latin typeface="Comic Sans MS" panose="030F0702030302020204" pitchFamily="66" charset="0"/>
            </a:rPr>
            <a:t>Las empresas que elijas deben ser diferentes</a:t>
          </a:r>
        </a:p>
        <a:p>
          <a:pPr algn="ctr"/>
          <a:endParaRPr lang="es-MX" sz="1100" b="1">
            <a:solidFill>
              <a:srgbClr val="4DD34D"/>
            </a:solidFill>
            <a:latin typeface="Comic Sans MS" panose="030F0702030302020204" pitchFamily="66" charset="0"/>
          </a:endParaRPr>
        </a:p>
      </xdr:txBody>
    </xdr:sp>
    <xdr:clientData/>
  </xdr:twoCellAnchor>
  <xdr:twoCellAnchor>
    <xdr:from>
      <xdr:col>11</xdr:col>
      <xdr:colOff>552450</xdr:colOff>
      <xdr:row>4</xdr:row>
      <xdr:rowOff>133349</xdr:rowOff>
    </xdr:from>
    <xdr:to>
      <xdr:col>18</xdr:col>
      <xdr:colOff>618450</xdr:colOff>
      <xdr:row>8</xdr:row>
      <xdr:rowOff>5624</xdr:rowOff>
    </xdr:to>
    <xdr:sp macro="" textlink="">
      <xdr:nvSpPr>
        <xdr:cNvPr id="13" name="Rectángulo: esquinas redondeadas 12">
          <a:extLst>
            <a:ext uri="{FF2B5EF4-FFF2-40B4-BE49-F238E27FC236}">
              <a16:creationId xmlns:a16="http://schemas.microsoft.com/office/drawing/2014/main" id="{04E0033A-149A-4AEC-81A6-6208406B782C}"/>
            </a:ext>
          </a:extLst>
        </xdr:cNvPr>
        <xdr:cNvSpPr/>
      </xdr:nvSpPr>
      <xdr:spPr>
        <a:xfrm>
          <a:off x="13287375" y="1666874"/>
          <a:ext cx="5400000" cy="720000"/>
        </a:xfrm>
        <a:prstGeom prst="roundRect">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rgbClr val="002060"/>
              </a:solidFill>
              <a:latin typeface="Comic Sans MS" panose="030F0702030302020204" pitchFamily="66" charset="0"/>
            </a:rPr>
            <a:t>Selecciona la celda que contenga el nombre de la empresa</a:t>
          </a:r>
          <a:r>
            <a:rPr lang="es-MX" sz="1100" b="1" baseline="0">
              <a:solidFill>
                <a:srgbClr val="002060"/>
              </a:solidFill>
              <a:latin typeface="Comic Sans MS" panose="030F0702030302020204" pitchFamily="66" charset="0"/>
            </a:rPr>
            <a:t> de la cual requieres BORRAR los rendimientos, después da click al botón </a:t>
          </a:r>
          <a:r>
            <a:rPr lang="es-MX" sz="1600" b="1" baseline="0">
              <a:solidFill>
                <a:srgbClr val="E74FDC"/>
              </a:solidFill>
              <a:latin typeface="Comic Sans MS" panose="030F0702030302020204" pitchFamily="66" charset="0"/>
            </a:rPr>
            <a:t>rosa</a:t>
          </a:r>
          <a:r>
            <a:rPr lang="es-MX" sz="1600" b="1" baseline="0">
              <a:solidFill>
                <a:srgbClr val="002060"/>
              </a:solidFill>
              <a:latin typeface="Comic Sans MS" panose="030F0702030302020204" pitchFamily="66" charset="0"/>
            </a:rPr>
            <a:t>.</a:t>
          </a:r>
          <a:endParaRPr lang="es-MX" sz="1600" b="1" baseline="0">
            <a:solidFill>
              <a:srgbClr val="E74FDC"/>
            </a:solidFill>
            <a:latin typeface="Comic Sans MS" panose="030F0702030302020204" pitchFamily="66" charset="0"/>
          </a:endParaRPr>
        </a:p>
        <a:p>
          <a:pPr algn="ctr"/>
          <a:endParaRPr lang="es-MX" sz="1100" b="1">
            <a:solidFill>
              <a:srgbClr val="4DD34D"/>
            </a:solidFill>
            <a:latin typeface="Comic Sans MS" panose="030F0702030302020204" pitchFamily="66" charset="0"/>
          </a:endParaRPr>
        </a:p>
      </xdr:txBody>
    </xdr:sp>
    <xdr:clientData/>
  </xdr:twoCellAnchor>
  <xdr:twoCellAnchor>
    <xdr:from>
      <xdr:col>11</xdr:col>
      <xdr:colOff>571500</xdr:colOff>
      <xdr:row>8</xdr:row>
      <xdr:rowOff>161926</xdr:rowOff>
    </xdr:from>
    <xdr:to>
      <xdr:col>14</xdr:col>
      <xdr:colOff>238125</xdr:colOff>
      <xdr:row>14</xdr:row>
      <xdr:rowOff>19050</xdr:rowOff>
    </xdr:to>
    <xdr:grpSp>
      <xdr:nvGrpSpPr>
        <xdr:cNvPr id="8" name="Grupo 7">
          <a:extLst>
            <a:ext uri="{FF2B5EF4-FFF2-40B4-BE49-F238E27FC236}">
              <a16:creationId xmlns:a16="http://schemas.microsoft.com/office/drawing/2014/main" id="{9A1B3019-A802-E376-7F50-00B485C17BCC}"/>
            </a:ext>
          </a:extLst>
        </xdr:cNvPr>
        <xdr:cNvGrpSpPr/>
      </xdr:nvGrpSpPr>
      <xdr:grpSpPr>
        <a:xfrm>
          <a:off x="13306425" y="2828926"/>
          <a:ext cx="1952625" cy="1114424"/>
          <a:chOff x="13525500" y="2095500"/>
          <a:chExt cx="1933575" cy="1133475"/>
        </a:xfrm>
      </xdr:grpSpPr>
      <xdr:pic>
        <xdr:nvPicPr>
          <xdr:cNvPr id="5" name="Imagen 4">
            <a:extLst>
              <a:ext uri="{FF2B5EF4-FFF2-40B4-BE49-F238E27FC236}">
                <a16:creationId xmlns:a16="http://schemas.microsoft.com/office/drawing/2014/main" id="{A6E63768-2BAE-2F86-6C6E-4D27D94330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30275" y="2219325"/>
            <a:ext cx="1828800" cy="10096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 name="Flecha: a la derecha 5">
            <a:extLst>
              <a:ext uri="{FF2B5EF4-FFF2-40B4-BE49-F238E27FC236}">
                <a16:creationId xmlns:a16="http://schemas.microsoft.com/office/drawing/2014/main" id="{A033BB77-5B2A-4A11-BFE3-E6BF33EB4667}"/>
              </a:ext>
            </a:extLst>
          </xdr:cNvPr>
          <xdr:cNvSpPr/>
        </xdr:nvSpPr>
        <xdr:spPr>
          <a:xfrm rot="5400000">
            <a:off x="14830426" y="2300290"/>
            <a:ext cx="300036" cy="214312"/>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7" name="CuadroTexto 6">
            <a:extLst>
              <a:ext uri="{FF2B5EF4-FFF2-40B4-BE49-F238E27FC236}">
                <a16:creationId xmlns:a16="http://schemas.microsoft.com/office/drawing/2014/main" id="{43DBA422-8EC6-B5B3-F0BD-B5A529BDF506}"/>
              </a:ext>
            </a:extLst>
          </xdr:cNvPr>
          <xdr:cNvSpPr txBox="1"/>
        </xdr:nvSpPr>
        <xdr:spPr>
          <a:xfrm>
            <a:off x="13525500" y="2095500"/>
            <a:ext cx="1433982" cy="34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a:solidFill>
                  <a:srgbClr val="C00000"/>
                </a:solidFill>
                <a:latin typeface="Comic Sans MS" panose="030F0702030302020204" pitchFamily="66" charset="0"/>
              </a:rPr>
              <a:t>Desplegar lista</a:t>
            </a:r>
          </a:p>
        </xdr:txBody>
      </xdr:sp>
    </xdr:grpSp>
    <xdr:clientData/>
  </xdr:twoCellAnchor>
  <xdr:twoCellAnchor>
    <xdr:from>
      <xdr:col>14</xdr:col>
      <xdr:colOff>581025</xdr:colOff>
      <xdr:row>8</xdr:row>
      <xdr:rowOff>28575</xdr:rowOff>
    </xdr:from>
    <xdr:to>
      <xdr:col>17</xdr:col>
      <xdr:colOff>352425</xdr:colOff>
      <xdr:row>16</xdr:row>
      <xdr:rowOff>47626</xdr:rowOff>
    </xdr:to>
    <xdr:grpSp>
      <xdr:nvGrpSpPr>
        <xdr:cNvPr id="20" name="Grupo 19">
          <a:extLst>
            <a:ext uri="{FF2B5EF4-FFF2-40B4-BE49-F238E27FC236}">
              <a16:creationId xmlns:a16="http://schemas.microsoft.com/office/drawing/2014/main" id="{20ADD17E-2602-1783-9DE3-EAEA0FCA870C}"/>
            </a:ext>
          </a:extLst>
        </xdr:cNvPr>
        <xdr:cNvGrpSpPr/>
      </xdr:nvGrpSpPr>
      <xdr:grpSpPr>
        <a:xfrm>
          <a:off x="15601950" y="2695575"/>
          <a:ext cx="2057400" cy="1695451"/>
          <a:chOff x="15811500" y="1714500"/>
          <a:chExt cx="2057400" cy="1695451"/>
        </a:xfrm>
      </xdr:grpSpPr>
      <xdr:pic>
        <xdr:nvPicPr>
          <xdr:cNvPr id="2" name="Imagen 1">
            <a:extLst>
              <a:ext uri="{FF2B5EF4-FFF2-40B4-BE49-F238E27FC236}">
                <a16:creationId xmlns:a16="http://schemas.microsoft.com/office/drawing/2014/main" id="{11DB155F-AAAD-49C3-242E-85F27BA93B7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 r="30925"/>
          <a:stretch/>
        </xdr:blipFill>
        <xdr:spPr bwMode="auto">
          <a:xfrm>
            <a:off x="15811501" y="1847851"/>
            <a:ext cx="1975354" cy="15621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7" name="CuadroTexto 16">
            <a:extLst>
              <a:ext uri="{FF2B5EF4-FFF2-40B4-BE49-F238E27FC236}">
                <a16:creationId xmlns:a16="http://schemas.microsoft.com/office/drawing/2014/main" id="{ADE2E974-3BD5-4E31-B439-86257D24B3BD}"/>
              </a:ext>
            </a:extLst>
          </xdr:cNvPr>
          <xdr:cNvSpPr txBox="1"/>
        </xdr:nvSpPr>
        <xdr:spPr>
          <a:xfrm>
            <a:off x="15811500" y="1714500"/>
            <a:ext cx="2057400"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1400">
                <a:solidFill>
                  <a:srgbClr val="C00000"/>
                </a:solidFill>
                <a:latin typeface="Comic Sans MS" panose="030F0702030302020204" pitchFamily="66" charset="0"/>
              </a:rPr>
              <a:t>Seleccionar empresa</a:t>
            </a:r>
          </a:p>
        </xdr:txBody>
      </xdr:sp>
    </xdr:grpSp>
    <xdr:clientData/>
  </xdr:twoCellAnchor>
  <xdr:twoCellAnchor>
    <xdr:from>
      <xdr:col>12</xdr:col>
      <xdr:colOff>190500</xdr:colOff>
      <xdr:row>15</xdr:row>
      <xdr:rowOff>66675</xdr:rowOff>
    </xdr:from>
    <xdr:to>
      <xdr:col>17</xdr:col>
      <xdr:colOff>190500</xdr:colOff>
      <xdr:row>20</xdr:row>
      <xdr:rowOff>171450</xdr:rowOff>
    </xdr:to>
    <xdr:grpSp>
      <xdr:nvGrpSpPr>
        <xdr:cNvPr id="19" name="Grupo 18">
          <a:extLst>
            <a:ext uri="{FF2B5EF4-FFF2-40B4-BE49-F238E27FC236}">
              <a16:creationId xmlns:a16="http://schemas.microsoft.com/office/drawing/2014/main" id="{C2024272-A641-4ADE-A454-821076BA926D}"/>
            </a:ext>
          </a:extLst>
        </xdr:cNvPr>
        <xdr:cNvGrpSpPr/>
      </xdr:nvGrpSpPr>
      <xdr:grpSpPr>
        <a:xfrm>
          <a:off x="13687425" y="4200525"/>
          <a:ext cx="3810000" cy="1152525"/>
          <a:chOff x="15649575" y="3476625"/>
          <a:chExt cx="3810000" cy="1152525"/>
        </a:xfrm>
      </xdr:grpSpPr>
      <xdr:grpSp>
        <xdr:nvGrpSpPr>
          <xdr:cNvPr id="16" name="Grupo 15">
            <a:extLst>
              <a:ext uri="{FF2B5EF4-FFF2-40B4-BE49-F238E27FC236}">
                <a16:creationId xmlns:a16="http://schemas.microsoft.com/office/drawing/2014/main" id="{6A91BA4A-8623-4AB9-59C6-19AEDEB514AE}"/>
              </a:ext>
            </a:extLst>
          </xdr:cNvPr>
          <xdr:cNvGrpSpPr/>
        </xdr:nvGrpSpPr>
        <xdr:grpSpPr>
          <a:xfrm>
            <a:off x="15697200" y="3800475"/>
            <a:ext cx="3762375" cy="828675"/>
            <a:chOff x="14973300" y="1771650"/>
            <a:chExt cx="3762375" cy="828675"/>
          </a:xfrm>
        </xdr:grpSpPr>
        <xdr:pic>
          <xdr:nvPicPr>
            <xdr:cNvPr id="10" name="Imagen 9">
              <a:extLst>
                <a:ext uri="{FF2B5EF4-FFF2-40B4-BE49-F238E27FC236}">
                  <a16:creationId xmlns:a16="http://schemas.microsoft.com/office/drawing/2014/main" id="{C49E9387-0B70-00EC-9257-46F927A07D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73300" y="1771650"/>
              <a:ext cx="3762375" cy="82867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 name="Rectángulo 11">
              <a:extLst>
                <a:ext uri="{FF2B5EF4-FFF2-40B4-BE49-F238E27FC236}">
                  <a16:creationId xmlns:a16="http://schemas.microsoft.com/office/drawing/2014/main" id="{E87595DF-955A-728C-ADC8-9EFF24F72E13}"/>
                </a:ext>
              </a:extLst>
            </xdr:cNvPr>
            <xdr:cNvSpPr/>
          </xdr:nvSpPr>
          <xdr:spPr>
            <a:xfrm>
              <a:off x="15068550" y="1962150"/>
              <a:ext cx="1171575" cy="247650"/>
            </a:xfrm>
            <a:prstGeom prst="rect">
              <a:avLst/>
            </a:prstGeom>
            <a:noFill/>
            <a:ln w="28575">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MX" sz="1100"/>
            </a:p>
          </xdr:txBody>
        </xdr:sp>
      </xdr:grpSp>
      <xdr:sp macro="" textlink="">
        <xdr:nvSpPr>
          <xdr:cNvPr id="18" name="CuadroTexto 17">
            <a:extLst>
              <a:ext uri="{FF2B5EF4-FFF2-40B4-BE49-F238E27FC236}">
                <a16:creationId xmlns:a16="http://schemas.microsoft.com/office/drawing/2014/main" id="{C852A7CC-94AC-44F4-B75F-BE1519C9EFB7}"/>
              </a:ext>
            </a:extLst>
          </xdr:cNvPr>
          <xdr:cNvSpPr txBox="1"/>
        </xdr:nvSpPr>
        <xdr:spPr>
          <a:xfrm>
            <a:off x="15649575" y="3476625"/>
            <a:ext cx="1790700" cy="34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1400">
                <a:solidFill>
                  <a:srgbClr val="C00000"/>
                </a:solidFill>
                <a:latin typeface="Comic Sans MS" panose="030F0702030302020204" pitchFamily="66" charset="0"/>
              </a:rPr>
              <a:t>Seleccionar celda</a:t>
            </a:r>
          </a:p>
        </xdr:txBody>
      </xdr:sp>
    </xdr:grpSp>
    <xdr:clientData/>
  </xdr:twoCellAnchor>
  <xdr:twoCellAnchor editAs="oneCell">
    <xdr:from>
      <xdr:col>0</xdr:col>
      <xdr:colOff>76200</xdr:colOff>
      <xdr:row>2</xdr:row>
      <xdr:rowOff>285750</xdr:rowOff>
    </xdr:from>
    <xdr:to>
      <xdr:col>0</xdr:col>
      <xdr:colOff>914401</xdr:colOff>
      <xdr:row>3</xdr:row>
      <xdr:rowOff>837122</xdr:rowOff>
    </xdr:to>
    <xdr:pic>
      <xdr:nvPicPr>
        <xdr:cNvPr id="4" name="Gráfico 3" descr="Hogar con relleno sólido">
          <a:hlinkClick xmlns:r="http://schemas.openxmlformats.org/officeDocument/2006/relationships" r:id="rId4"/>
          <a:extLst>
            <a:ext uri="{FF2B5EF4-FFF2-40B4-BE49-F238E27FC236}">
              <a16:creationId xmlns:a16="http://schemas.microsoft.com/office/drawing/2014/main" id="{6B814F36-E340-42B0-97BC-C87675CDC78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6200" y="857250"/>
          <a:ext cx="838201" cy="8561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342900</xdr:colOff>
      <xdr:row>2</xdr:row>
      <xdr:rowOff>28575</xdr:rowOff>
    </xdr:from>
    <xdr:to>
      <xdr:col>0</xdr:col>
      <xdr:colOff>1181101</xdr:colOff>
      <xdr:row>6</xdr:row>
      <xdr:rowOff>27497</xdr:rowOff>
    </xdr:to>
    <xdr:pic>
      <xdr:nvPicPr>
        <xdr:cNvPr id="2" name="Gráfico 1" descr="Hogar con relleno sólido">
          <a:hlinkClick xmlns:r="http://schemas.openxmlformats.org/officeDocument/2006/relationships" r:id="rId1"/>
          <a:extLst>
            <a:ext uri="{FF2B5EF4-FFF2-40B4-BE49-F238E27FC236}">
              <a16:creationId xmlns:a16="http://schemas.microsoft.com/office/drawing/2014/main" id="{100C5FA7-6609-4420-A69E-BA7097AEB8D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42900" y="676275"/>
          <a:ext cx="838201" cy="8561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105832</xdr:colOff>
      <xdr:row>0</xdr:row>
      <xdr:rowOff>0</xdr:rowOff>
    </xdr:from>
    <xdr:to>
      <xdr:col>12</xdr:col>
      <xdr:colOff>182033</xdr:colOff>
      <xdr:row>2</xdr:row>
      <xdr:rowOff>221172</xdr:rowOff>
    </xdr:to>
    <xdr:pic>
      <xdr:nvPicPr>
        <xdr:cNvPr id="2" name="Gráfico 1" descr="Hogar con relleno sólido">
          <a:hlinkClick xmlns:r="http://schemas.openxmlformats.org/officeDocument/2006/relationships" r:id="rId1"/>
          <a:extLst>
            <a:ext uri="{FF2B5EF4-FFF2-40B4-BE49-F238E27FC236}">
              <a16:creationId xmlns:a16="http://schemas.microsoft.com/office/drawing/2014/main" id="{2900E5A3-EAE0-4F97-A270-3F30E22F19D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144499" y="0"/>
          <a:ext cx="838201" cy="8561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1217083</xdr:colOff>
      <xdr:row>5</xdr:row>
      <xdr:rowOff>190499</xdr:rowOff>
    </xdr:from>
    <xdr:to>
      <xdr:col>13</xdr:col>
      <xdr:colOff>808566</xdr:colOff>
      <xdr:row>9</xdr:row>
      <xdr:rowOff>173566</xdr:rowOff>
    </xdr:to>
    <xdr:pic>
      <xdr:nvPicPr>
        <xdr:cNvPr id="4" name="Gráfico 3" descr="Gráfico circular con relleno sólido">
          <a:hlinkClick xmlns:r="http://schemas.openxmlformats.org/officeDocument/2006/relationships" r:id="rId1"/>
          <a:extLst>
            <a:ext uri="{FF2B5EF4-FFF2-40B4-BE49-F238E27FC236}">
              <a16:creationId xmlns:a16="http://schemas.microsoft.com/office/drawing/2014/main" id="{FE69D693-30B3-4F45-ADF4-39B86329A3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330333" y="1386416"/>
          <a:ext cx="914400" cy="914400"/>
        </a:xfrm>
        <a:prstGeom prst="rect">
          <a:avLst/>
        </a:prstGeom>
      </xdr:spPr>
    </xdr:pic>
    <xdr:clientData/>
  </xdr:twoCellAnchor>
  <xdr:twoCellAnchor>
    <xdr:from>
      <xdr:col>12</xdr:col>
      <xdr:colOff>105833</xdr:colOff>
      <xdr:row>4</xdr:row>
      <xdr:rowOff>179917</xdr:rowOff>
    </xdr:from>
    <xdr:to>
      <xdr:col>14</xdr:col>
      <xdr:colOff>57712</xdr:colOff>
      <xdr:row>6</xdr:row>
      <xdr:rowOff>25948</xdr:rowOff>
    </xdr:to>
    <xdr:sp macro="" textlink="">
      <xdr:nvSpPr>
        <xdr:cNvPr id="5" name="CuadroTexto 4">
          <a:extLst>
            <a:ext uri="{FF2B5EF4-FFF2-40B4-BE49-F238E27FC236}">
              <a16:creationId xmlns:a16="http://schemas.microsoft.com/office/drawing/2014/main" id="{9732F488-F69D-72F8-3B2D-2E53152534A2}"/>
            </a:ext>
          </a:extLst>
        </xdr:cNvPr>
        <xdr:cNvSpPr txBox="1"/>
      </xdr:nvSpPr>
      <xdr:spPr>
        <a:xfrm>
          <a:off x="17219083" y="1164167"/>
          <a:ext cx="3327962"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1050" b="1">
              <a:latin typeface="Comic Sans MS" panose="030F0702030302020204" pitchFamily="66" charset="0"/>
            </a:rPr>
            <a:t>DAR CLICK AL</a:t>
          </a:r>
          <a:r>
            <a:rPr lang="es-MX" sz="1050" b="1" baseline="0">
              <a:latin typeface="Comic Sans MS" panose="030F0702030302020204" pitchFamily="66" charset="0"/>
            </a:rPr>
            <a:t> ICONO </a:t>
          </a:r>
          <a:r>
            <a:rPr lang="es-MX" sz="1050" b="1">
              <a:latin typeface="Comic Sans MS" panose="030F0702030302020204" pitchFamily="66" charset="0"/>
            </a:rPr>
            <a:t>PARA VER LA GRÁFICA</a:t>
          </a:r>
        </a:p>
      </xdr:txBody>
    </xdr:sp>
    <xdr:clientData/>
  </xdr:twoCellAnchor>
  <xdr:twoCellAnchor editAs="oneCell">
    <xdr:from>
      <xdr:col>12</xdr:col>
      <xdr:colOff>1109505</xdr:colOff>
      <xdr:row>0</xdr:row>
      <xdr:rowOff>146538</xdr:rowOff>
    </xdr:from>
    <xdr:to>
      <xdr:col>13</xdr:col>
      <xdr:colOff>628860</xdr:colOff>
      <xdr:row>4</xdr:row>
      <xdr:rowOff>29276</xdr:rowOff>
    </xdr:to>
    <xdr:pic>
      <xdr:nvPicPr>
        <xdr:cNvPr id="2" name="Gráfico 1" descr="Hogar con relleno sólido">
          <a:hlinkClick xmlns:r="http://schemas.openxmlformats.org/officeDocument/2006/relationships" r:id="rId4"/>
          <a:extLst>
            <a:ext uri="{FF2B5EF4-FFF2-40B4-BE49-F238E27FC236}">
              <a16:creationId xmlns:a16="http://schemas.microsoft.com/office/drawing/2014/main" id="{144E7DDA-57BF-44E5-B1E1-A8933E81DAF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8181236" y="146538"/>
          <a:ext cx="838201" cy="8561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34571</xdr:colOff>
      <xdr:row>7</xdr:row>
      <xdr:rowOff>150792</xdr:rowOff>
    </xdr:from>
    <xdr:to>
      <xdr:col>13</xdr:col>
      <xdr:colOff>858583</xdr:colOff>
      <xdr:row>11</xdr:row>
      <xdr:rowOff>47626</xdr:rowOff>
    </xdr:to>
    <xdr:pic>
      <xdr:nvPicPr>
        <xdr:cNvPr id="3" name="Gráfico 2" descr="Gráfico circular con relleno sólido">
          <a:hlinkClick xmlns:r="http://schemas.openxmlformats.org/officeDocument/2006/relationships" r:id="rId1"/>
          <a:extLst>
            <a:ext uri="{FF2B5EF4-FFF2-40B4-BE49-F238E27FC236}">
              <a16:creationId xmlns:a16="http://schemas.microsoft.com/office/drawing/2014/main" id="{9D63842F-684B-2A17-E6C5-C791DEB21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84496" y="1550967"/>
          <a:ext cx="824012" cy="811234"/>
        </a:xfrm>
        <a:prstGeom prst="rect">
          <a:avLst/>
        </a:prstGeom>
      </xdr:spPr>
    </xdr:pic>
    <xdr:clientData/>
  </xdr:twoCellAnchor>
  <xdr:twoCellAnchor>
    <xdr:from>
      <xdr:col>12</xdr:col>
      <xdr:colOff>352425</xdr:colOff>
      <xdr:row>3</xdr:row>
      <xdr:rowOff>85725</xdr:rowOff>
    </xdr:from>
    <xdr:to>
      <xdr:col>13</xdr:col>
      <xdr:colOff>1704975</xdr:colOff>
      <xdr:row>6</xdr:row>
      <xdr:rowOff>142875</xdr:rowOff>
    </xdr:to>
    <xdr:sp macro="[0]!MinRiesgo" textlink="">
      <xdr:nvSpPr>
        <xdr:cNvPr id="7" name="Rectángulo: esquinas redondeadas 6">
          <a:extLst>
            <a:ext uri="{FF2B5EF4-FFF2-40B4-BE49-F238E27FC236}">
              <a16:creationId xmlns:a16="http://schemas.microsoft.com/office/drawing/2014/main" id="{7A508E61-33A5-8B8E-4B1F-409E99A367B7}"/>
            </a:ext>
          </a:extLst>
        </xdr:cNvPr>
        <xdr:cNvSpPr/>
      </xdr:nvSpPr>
      <xdr:spPr>
        <a:xfrm>
          <a:off x="17478375" y="1000125"/>
          <a:ext cx="2676525" cy="695325"/>
        </a:xfrm>
        <a:prstGeom prst="roundRect">
          <a:avLst/>
        </a:prstGeom>
        <a:solidFill>
          <a:srgbClr val="EF89E8"/>
        </a:solidFill>
        <a:ln>
          <a:solidFill>
            <a:srgbClr val="EF89E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chemeClr val="tx1"/>
              </a:solidFill>
              <a:latin typeface="Comic Sans MS" panose="030F0702030302020204" pitchFamily="66" charset="0"/>
            </a:rPr>
            <a:t>CALCULAR</a:t>
          </a:r>
          <a:r>
            <a:rPr lang="es-MX" sz="1100" b="1" baseline="0">
              <a:solidFill>
                <a:schemeClr val="tx1"/>
              </a:solidFill>
              <a:latin typeface="Comic Sans MS" panose="030F0702030302020204" pitchFamily="66" charset="0"/>
            </a:rPr>
            <a:t> PONDERACIONES PARA MINIMIZAR RIESGO</a:t>
          </a:r>
          <a:endParaRPr lang="es-MX" sz="1100" b="1">
            <a:solidFill>
              <a:schemeClr val="tx1"/>
            </a:solidFill>
            <a:latin typeface="Comic Sans MS" panose="030F0702030302020204" pitchFamily="66" charset="0"/>
          </a:endParaRPr>
        </a:p>
      </xdr:txBody>
    </xdr:sp>
    <xdr:clientData/>
  </xdr:twoCellAnchor>
  <xdr:twoCellAnchor editAs="oneCell">
    <xdr:from>
      <xdr:col>0</xdr:col>
      <xdr:colOff>323850</xdr:colOff>
      <xdr:row>0</xdr:row>
      <xdr:rowOff>57150</xdr:rowOff>
    </xdr:from>
    <xdr:to>
      <xdr:col>0</xdr:col>
      <xdr:colOff>1162051</xdr:colOff>
      <xdr:row>2</xdr:row>
      <xdr:rowOff>237047</xdr:rowOff>
    </xdr:to>
    <xdr:pic>
      <xdr:nvPicPr>
        <xdr:cNvPr id="2" name="Gráfico 1" descr="Hogar con relleno sólido">
          <a:hlinkClick xmlns:r="http://schemas.openxmlformats.org/officeDocument/2006/relationships" r:id="rId4"/>
          <a:extLst>
            <a:ext uri="{FF2B5EF4-FFF2-40B4-BE49-F238E27FC236}">
              <a16:creationId xmlns:a16="http://schemas.microsoft.com/office/drawing/2014/main" id="{35F454BE-E59A-4E22-96FC-F4B705B9508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23850" y="57150"/>
          <a:ext cx="838201" cy="8561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13</xdr:col>
      <xdr:colOff>34571</xdr:colOff>
      <xdr:row>7</xdr:row>
      <xdr:rowOff>150792</xdr:rowOff>
    </xdr:from>
    <xdr:to>
      <xdr:col>13</xdr:col>
      <xdr:colOff>858583</xdr:colOff>
      <xdr:row>11</xdr:row>
      <xdr:rowOff>47626</xdr:rowOff>
    </xdr:to>
    <xdr:pic>
      <xdr:nvPicPr>
        <xdr:cNvPr id="2" name="Gráfico 1" descr="Gráfico circular con relleno sólido">
          <a:hlinkClick xmlns:r="http://schemas.openxmlformats.org/officeDocument/2006/relationships" r:id="rId1"/>
          <a:extLst>
            <a:ext uri="{FF2B5EF4-FFF2-40B4-BE49-F238E27FC236}">
              <a16:creationId xmlns:a16="http://schemas.microsoft.com/office/drawing/2014/main" id="{DB7E9966-20A1-487F-A259-F1E87A1F14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84496" y="1922442"/>
          <a:ext cx="824012" cy="811234"/>
        </a:xfrm>
        <a:prstGeom prst="rect">
          <a:avLst/>
        </a:prstGeom>
      </xdr:spPr>
    </xdr:pic>
    <xdr:clientData/>
  </xdr:twoCellAnchor>
  <xdr:twoCellAnchor>
    <xdr:from>
      <xdr:col>12</xdr:col>
      <xdr:colOff>85725</xdr:colOff>
      <xdr:row>3</xdr:row>
      <xdr:rowOff>38100</xdr:rowOff>
    </xdr:from>
    <xdr:to>
      <xdr:col>13</xdr:col>
      <xdr:colOff>1504950</xdr:colOff>
      <xdr:row>6</xdr:row>
      <xdr:rowOff>161925</xdr:rowOff>
    </xdr:to>
    <xdr:sp macro="[0]!MaxRentabilidad" textlink="">
      <xdr:nvSpPr>
        <xdr:cNvPr id="3" name="Rectángulo: esquinas redondeadas 2">
          <a:extLst>
            <a:ext uri="{FF2B5EF4-FFF2-40B4-BE49-F238E27FC236}">
              <a16:creationId xmlns:a16="http://schemas.microsoft.com/office/drawing/2014/main" id="{A57F3334-972E-4F2E-BB18-706756F1CFD4}"/>
            </a:ext>
          </a:extLst>
        </xdr:cNvPr>
        <xdr:cNvSpPr/>
      </xdr:nvSpPr>
      <xdr:spPr>
        <a:xfrm>
          <a:off x="17211675" y="952500"/>
          <a:ext cx="2743200" cy="762000"/>
        </a:xfrm>
        <a:prstGeom prst="roundRect">
          <a:avLst/>
        </a:prstGeom>
        <a:solidFill>
          <a:srgbClr val="EF89E8"/>
        </a:solidFill>
        <a:ln>
          <a:solidFill>
            <a:srgbClr val="EF89E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chemeClr val="tx1"/>
              </a:solidFill>
              <a:latin typeface="Comic Sans MS" panose="030F0702030302020204" pitchFamily="66" charset="0"/>
            </a:rPr>
            <a:t>CALCULAR</a:t>
          </a:r>
          <a:r>
            <a:rPr lang="es-MX" sz="1100" b="1" baseline="0">
              <a:solidFill>
                <a:schemeClr val="tx1"/>
              </a:solidFill>
              <a:latin typeface="Comic Sans MS" panose="030F0702030302020204" pitchFamily="66" charset="0"/>
            </a:rPr>
            <a:t> PONDERACIONES PARA MAXIMIZAR LA RENTABILIDAD</a:t>
          </a:r>
          <a:endParaRPr lang="es-MX" sz="1100" b="1">
            <a:solidFill>
              <a:schemeClr val="tx1"/>
            </a:solidFill>
            <a:latin typeface="Comic Sans MS" panose="030F0702030302020204" pitchFamily="66" charset="0"/>
          </a:endParaRPr>
        </a:p>
      </xdr:txBody>
    </xdr:sp>
    <xdr:clientData/>
  </xdr:twoCellAnchor>
  <xdr:twoCellAnchor editAs="oneCell">
    <xdr:from>
      <xdr:col>0</xdr:col>
      <xdr:colOff>295275</xdr:colOff>
      <xdr:row>0</xdr:row>
      <xdr:rowOff>28575</xdr:rowOff>
    </xdr:from>
    <xdr:to>
      <xdr:col>0</xdr:col>
      <xdr:colOff>1133476</xdr:colOff>
      <xdr:row>2</xdr:row>
      <xdr:rowOff>208472</xdr:rowOff>
    </xdr:to>
    <xdr:pic>
      <xdr:nvPicPr>
        <xdr:cNvPr id="4" name="Gráfico 3" descr="Hogar con relleno sólido">
          <a:hlinkClick xmlns:r="http://schemas.openxmlformats.org/officeDocument/2006/relationships" r:id="rId4"/>
          <a:extLst>
            <a:ext uri="{FF2B5EF4-FFF2-40B4-BE49-F238E27FC236}">
              <a16:creationId xmlns:a16="http://schemas.microsoft.com/office/drawing/2014/main" id="{F65EE4FA-A2A6-4CEA-9708-AB844273C4A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95275" y="28575"/>
          <a:ext cx="838201" cy="8561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476250</xdr:colOff>
      <xdr:row>0</xdr:row>
      <xdr:rowOff>76201</xdr:rowOff>
    </xdr:from>
    <xdr:to>
      <xdr:col>14</xdr:col>
      <xdr:colOff>514350</xdr:colOff>
      <xdr:row>28</xdr:row>
      <xdr:rowOff>1</xdr:rowOff>
    </xdr:to>
    <xdr:graphicFrame macro="">
      <xdr:nvGraphicFramePr>
        <xdr:cNvPr id="2" name="Gráfico 1">
          <a:extLst>
            <a:ext uri="{FF2B5EF4-FFF2-40B4-BE49-F238E27FC236}">
              <a16:creationId xmlns:a16="http://schemas.microsoft.com/office/drawing/2014/main" id="{87FAF6AB-405D-4429-9B3F-4371899170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228600</xdr:colOff>
      <xdr:row>0</xdr:row>
      <xdr:rowOff>0</xdr:rowOff>
    </xdr:from>
    <xdr:to>
      <xdr:col>1</xdr:col>
      <xdr:colOff>304801</xdr:colOff>
      <xdr:row>4</xdr:row>
      <xdr:rowOff>94172</xdr:rowOff>
    </xdr:to>
    <xdr:pic>
      <xdr:nvPicPr>
        <xdr:cNvPr id="3" name="Gráfico 2" descr="Hogar con relleno sólido">
          <a:hlinkClick xmlns:r="http://schemas.openxmlformats.org/officeDocument/2006/relationships" r:id="rId2"/>
          <a:extLst>
            <a:ext uri="{FF2B5EF4-FFF2-40B4-BE49-F238E27FC236}">
              <a16:creationId xmlns:a16="http://schemas.microsoft.com/office/drawing/2014/main" id="{417A7C08-7009-4F51-8FE2-5576C5AFC2E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28600" y="0"/>
          <a:ext cx="838201" cy="8561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304801</xdr:colOff>
      <xdr:row>0</xdr:row>
      <xdr:rowOff>123824</xdr:rowOff>
    </xdr:from>
    <xdr:to>
      <xdr:col>12</xdr:col>
      <xdr:colOff>285751</xdr:colOff>
      <xdr:row>27</xdr:row>
      <xdr:rowOff>161925</xdr:rowOff>
    </xdr:to>
    <xdr:graphicFrame macro="">
      <xdr:nvGraphicFramePr>
        <xdr:cNvPr id="2" name="Gráfico 1">
          <a:extLst>
            <a:ext uri="{FF2B5EF4-FFF2-40B4-BE49-F238E27FC236}">
              <a16:creationId xmlns:a16="http://schemas.microsoft.com/office/drawing/2014/main" id="{A6C63000-0632-4FC2-86BF-3E2C2EF62E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19050</xdr:colOff>
      <xdr:row>0</xdr:row>
      <xdr:rowOff>9525</xdr:rowOff>
    </xdr:from>
    <xdr:to>
      <xdr:col>1</xdr:col>
      <xdr:colOff>95251</xdr:colOff>
      <xdr:row>4</xdr:row>
      <xdr:rowOff>103697</xdr:rowOff>
    </xdr:to>
    <xdr:pic>
      <xdr:nvPicPr>
        <xdr:cNvPr id="3" name="Gráfico 2" descr="Hogar con relleno sólido">
          <a:hlinkClick xmlns:r="http://schemas.openxmlformats.org/officeDocument/2006/relationships" r:id="rId2"/>
          <a:extLst>
            <a:ext uri="{FF2B5EF4-FFF2-40B4-BE49-F238E27FC236}">
              <a16:creationId xmlns:a16="http://schemas.microsoft.com/office/drawing/2014/main" id="{DD0BD090-F043-409C-9297-2BE47053D1F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050" y="9525"/>
          <a:ext cx="838201" cy="8561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209549</xdr:colOff>
      <xdr:row>0</xdr:row>
      <xdr:rowOff>114300</xdr:rowOff>
    </xdr:from>
    <xdr:to>
      <xdr:col>13</xdr:col>
      <xdr:colOff>676274</xdr:colOff>
      <xdr:row>24</xdr:row>
      <xdr:rowOff>57150</xdr:rowOff>
    </xdr:to>
    <xdr:graphicFrame macro="">
      <xdr:nvGraphicFramePr>
        <xdr:cNvPr id="2" name="Gráfico 1">
          <a:extLst>
            <a:ext uri="{FF2B5EF4-FFF2-40B4-BE49-F238E27FC236}">
              <a16:creationId xmlns:a16="http://schemas.microsoft.com/office/drawing/2014/main" id="{66C77090-421A-4913-A7DD-009430187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219075</xdr:colOff>
      <xdr:row>0</xdr:row>
      <xdr:rowOff>0</xdr:rowOff>
    </xdr:from>
    <xdr:to>
      <xdr:col>1</xdr:col>
      <xdr:colOff>295276</xdr:colOff>
      <xdr:row>4</xdr:row>
      <xdr:rowOff>94172</xdr:rowOff>
    </xdr:to>
    <xdr:pic>
      <xdr:nvPicPr>
        <xdr:cNvPr id="3" name="Gráfico 2" descr="Hogar con relleno sólido">
          <a:hlinkClick xmlns:r="http://schemas.openxmlformats.org/officeDocument/2006/relationships" r:id="rId2"/>
          <a:extLst>
            <a:ext uri="{FF2B5EF4-FFF2-40B4-BE49-F238E27FC236}">
              <a16:creationId xmlns:a16="http://schemas.microsoft.com/office/drawing/2014/main" id="{41608445-0ED9-4BF6-B0B5-F1FB84D8AD5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9075" y="0"/>
          <a:ext cx="838201" cy="8561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76201</xdr:colOff>
      <xdr:row>3</xdr:row>
      <xdr:rowOff>113222</xdr:rowOff>
    </xdr:to>
    <xdr:pic>
      <xdr:nvPicPr>
        <xdr:cNvPr id="2" name="Gráfico 1" descr="Hogar con relleno sólido">
          <a:hlinkClick xmlns:r="http://schemas.openxmlformats.org/officeDocument/2006/relationships" r:id="rId1"/>
          <a:extLst>
            <a:ext uri="{FF2B5EF4-FFF2-40B4-BE49-F238E27FC236}">
              <a16:creationId xmlns:a16="http://schemas.microsoft.com/office/drawing/2014/main" id="{81A991DE-668F-4FC8-BC3A-B15125F34C2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838201" cy="856172"/>
        </a:xfrm>
        <a:prstGeom prst="rect">
          <a:avLst/>
        </a:prstGeom>
      </xdr:spPr>
    </xdr:pic>
    <xdr:clientData/>
  </xdr:twoCellAnchor>
  <xdr:twoCellAnchor>
    <xdr:from>
      <xdr:col>0</xdr:col>
      <xdr:colOff>0</xdr:colOff>
      <xdr:row>4</xdr:row>
      <xdr:rowOff>57150</xdr:rowOff>
    </xdr:from>
    <xdr:to>
      <xdr:col>1</xdr:col>
      <xdr:colOff>619125</xdr:colOff>
      <xdr:row>8</xdr:row>
      <xdr:rowOff>38100</xdr:rowOff>
    </xdr:to>
    <xdr:sp macro="[0]!ActualizarInforme" textlink="">
      <xdr:nvSpPr>
        <xdr:cNvPr id="3" name="Rectángulo: esquinas redondeadas 2">
          <a:extLst>
            <a:ext uri="{FF2B5EF4-FFF2-40B4-BE49-F238E27FC236}">
              <a16:creationId xmlns:a16="http://schemas.microsoft.com/office/drawing/2014/main" id="{0F35DF76-4D68-8100-75A7-1D789E911D89}"/>
            </a:ext>
          </a:extLst>
        </xdr:cNvPr>
        <xdr:cNvSpPr/>
      </xdr:nvSpPr>
      <xdr:spPr>
        <a:xfrm>
          <a:off x="0" y="1047750"/>
          <a:ext cx="1381125" cy="97155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chemeClr val="bg1"/>
              </a:solidFill>
              <a:latin typeface="Comic Sans MS" panose="030F0702030302020204" pitchFamily="66" charset="0"/>
            </a:rPr>
            <a:t>DAR CLICK PARA ACTUALIZAR INFORME</a:t>
          </a:r>
        </a:p>
      </xdr:txBody>
    </xdr:sp>
    <xdr:clientData/>
  </xdr:twoCellAnchor>
  <xdr:twoCellAnchor>
    <xdr:from>
      <xdr:col>9</xdr:col>
      <xdr:colOff>419100</xdr:colOff>
      <xdr:row>16</xdr:row>
      <xdr:rowOff>242887</xdr:rowOff>
    </xdr:from>
    <xdr:to>
      <xdr:col>15</xdr:col>
      <xdr:colOff>41325</xdr:colOff>
      <xdr:row>28</xdr:row>
      <xdr:rowOff>151087</xdr:rowOff>
    </xdr:to>
    <xdr:graphicFrame macro="">
      <xdr:nvGraphicFramePr>
        <xdr:cNvPr id="4" name="Gráfico 3">
          <a:extLst>
            <a:ext uri="{FF2B5EF4-FFF2-40B4-BE49-F238E27FC236}">
              <a16:creationId xmlns:a16="http://schemas.microsoft.com/office/drawing/2014/main" id="{21D8BF9A-1A98-7F0D-B41A-3ADAD1F90D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514350</xdr:colOff>
      <xdr:row>32</xdr:row>
      <xdr:rowOff>42862</xdr:rowOff>
    </xdr:from>
    <xdr:to>
      <xdr:col>15</xdr:col>
      <xdr:colOff>136575</xdr:colOff>
      <xdr:row>43</xdr:row>
      <xdr:rowOff>198712</xdr:rowOff>
    </xdr:to>
    <xdr:graphicFrame macro="">
      <xdr:nvGraphicFramePr>
        <xdr:cNvPr id="5" name="Gráfico 4">
          <a:extLst>
            <a:ext uri="{FF2B5EF4-FFF2-40B4-BE49-F238E27FC236}">
              <a16:creationId xmlns:a16="http://schemas.microsoft.com/office/drawing/2014/main" id="{43238D11-32D6-0BBA-4D4F-AAA525904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504825</xdr:colOff>
      <xdr:row>47</xdr:row>
      <xdr:rowOff>71437</xdr:rowOff>
    </xdr:from>
    <xdr:to>
      <xdr:col>15</xdr:col>
      <xdr:colOff>127050</xdr:colOff>
      <xdr:row>58</xdr:row>
      <xdr:rowOff>208237</xdr:rowOff>
    </xdr:to>
    <xdr:graphicFrame macro="">
      <xdr:nvGraphicFramePr>
        <xdr:cNvPr id="6" name="Gráfico 5">
          <a:extLst>
            <a:ext uri="{FF2B5EF4-FFF2-40B4-BE49-F238E27FC236}">
              <a16:creationId xmlns:a16="http://schemas.microsoft.com/office/drawing/2014/main" id="{CD8DC886-5E21-FCD4-6973-DCDFA15276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76201</xdr:colOff>
      <xdr:row>4</xdr:row>
      <xdr:rowOff>17972</xdr:rowOff>
    </xdr:to>
    <xdr:pic>
      <xdr:nvPicPr>
        <xdr:cNvPr id="3" name="Gráfico 2" descr="Hogar con relleno sólido">
          <a:hlinkClick xmlns:r="http://schemas.openxmlformats.org/officeDocument/2006/relationships" r:id="rId1"/>
          <a:extLst>
            <a:ext uri="{FF2B5EF4-FFF2-40B4-BE49-F238E27FC236}">
              <a16:creationId xmlns:a16="http://schemas.microsoft.com/office/drawing/2014/main" id="{0505FD34-AFF4-4F03-8ED9-DDC99558F13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838201" cy="85617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T20"/>
  <sheetViews>
    <sheetView workbookViewId="0">
      <selection activeCell="F3" sqref="F3"/>
    </sheetView>
  </sheetViews>
  <sheetFormatPr baseColWidth="10" defaultRowHeight="31.5" x14ac:dyDescent="0.25"/>
  <cols>
    <col min="1" max="19" width="11.42578125" style="73"/>
  </cols>
  <sheetData>
    <row r="1" spans="1:20" ht="36.75" customHeight="1" x14ac:dyDescent="0.25">
      <c r="A1" s="142" t="s">
        <v>76</v>
      </c>
      <c r="B1" s="142"/>
      <c r="C1" s="142"/>
      <c r="D1" s="142"/>
      <c r="E1" s="142"/>
      <c r="F1" s="142"/>
      <c r="G1" s="142"/>
      <c r="H1" s="142"/>
      <c r="I1" s="142"/>
      <c r="J1" s="142"/>
      <c r="K1" s="142"/>
      <c r="L1" s="142"/>
      <c r="M1" s="142"/>
      <c r="N1" s="142"/>
      <c r="O1" s="142"/>
      <c r="P1" s="142"/>
      <c r="Q1" s="142"/>
      <c r="R1" s="142"/>
      <c r="S1" s="142"/>
      <c r="T1" s="142"/>
    </row>
    <row r="2" spans="1:20" x14ac:dyDescent="0.25">
      <c r="A2" s="142" t="s">
        <v>75</v>
      </c>
      <c r="B2" s="142"/>
      <c r="C2" s="142"/>
      <c r="D2" s="142"/>
      <c r="E2" s="142"/>
      <c r="F2" s="142"/>
      <c r="G2" s="142"/>
      <c r="H2" s="142"/>
      <c r="I2" s="142"/>
      <c r="J2" s="142"/>
      <c r="K2" s="142"/>
      <c r="L2" s="142"/>
      <c r="M2" s="142"/>
      <c r="N2" s="142"/>
      <c r="O2" s="142"/>
      <c r="P2" s="142"/>
      <c r="Q2" s="142"/>
      <c r="R2" s="142"/>
      <c r="S2" s="142"/>
      <c r="T2" s="142"/>
    </row>
    <row r="3" spans="1:20" x14ac:dyDescent="0.25">
      <c r="A3" s="99"/>
      <c r="B3" s="99"/>
      <c r="C3" s="99"/>
      <c r="D3" s="99"/>
      <c r="E3" s="99"/>
      <c r="F3" s="99"/>
      <c r="G3" s="99"/>
      <c r="H3" s="99"/>
      <c r="I3" s="99"/>
      <c r="J3" s="99"/>
      <c r="K3" s="99"/>
      <c r="L3" s="99"/>
      <c r="M3" s="99"/>
      <c r="N3" s="99"/>
      <c r="O3" s="99"/>
      <c r="P3" s="99"/>
      <c r="Q3" s="99"/>
      <c r="R3" s="99"/>
      <c r="S3" s="99"/>
      <c r="T3" s="100"/>
    </row>
    <row r="4" spans="1:20" x14ac:dyDescent="0.25">
      <c r="A4" s="142" t="s">
        <v>53</v>
      </c>
      <c r="B4" s="142"/>
      <c r="C4" s="142"/>
      <c r="D4" s="142"/>
      <c r="E4" s="142"/>
      <c r="F4" s="142"/>
      <c r="G4" s="142"/>
      <c r="H4" s="142"/>
      <c r="I4" s="142"/>
      <c r="J4" s="142"/>
      <c r="K4" s="142"/>
      <c r="L4" s="142"/>
      <c r="M4" s="142"/>
      <c r="N4" s="142"/>
      <c r="O4" s="142"/>
      <c r="P4" s="142"/>
      <c r="Q4" s="142"/>
      <c r="R4" s="142"/>
      <c r="S4" s="142"/>
      <c r="T4" s="100"/>
    </row>
    <row r="5" spans="1:20" x14ac:dyDescent="0.25">
      <c r="A5" s="142" t="s">
        <v>54</v>
      </c>
      <c r="B5" s="142"/>
      <c r="C5" s="142"/>
      <c r="D5" s="142"/>
      <c r="E5" s="142"/>
      <c r="F5" s="142"/>
      <c r="G5" s="142"/>
      <c r="H5" s="142"/>
      <c r="I5" s="142"/>
      <c r="J5" s="142"/>
      <c r="K5" s="142"/>
      <c r="L5" s="142"/>
      <c r="M5" s="142"/>
      <c r="N5" s="142"/>
      <c r="O5" s="142"/>
      <c r="P5" s="142"/>
      <c r="Q5" s="142"/>
      <c r="R5" s="142"/>
      <c r="S5" s="142"/>
      <c r="T5" s="100"/>
    </row>
    <row r="6" spans="1:20" x14ac:dyDescent="0.25">
      <c r="A6" s="142" t="s">
        <v>55</v>
      </c>
      <c r="B6" s="142"/>
      <c r="C6" s="142"/>
      <c r="D6" s="142"/>
      <c r="E6" s="142"/>
      <c r="F6" s="142"/>
      <c r="G6" s="142"/>
      <c r="H6" s="142"/>
      <c r="I6" s="142"/>
      <c r="J6" s="142"/>
      <c r="K6" s="142"/>
      <c r="L6" s="142"/>
      <c r="M6" s="142"/>
      <c r="N6" s="142"/>
      <c r="O6" s="142"/>
      <c r="P6" s="142"/>
      <c r="Q6" s="142"/>
      <c r="R6" s="142"/>
      <c r="S6" s="142"/>
      <c r="T6" s="100"/>
    </row>
    <row r="7" spans="1:20" x14ac:dyDescent="0.25">
      <c r="A7" s="142" t="s">
        <v>59</v>
      </c>
      <c r="B7" s="142"/>
      <c r="C7" s="142"/>
      <c r="D7" s="142"/>
      <c r="E7" s="142"/>
      <c r="F7" s="142"/>
      <c r="G7" s="142"/>
      <c r="H7" s="142"/>
      <c r="I7" s="142"/>
      <c r="J7" s="142"/>
      <c r="K7" s="142"/>
      <c r="L7" s="142"/>
      <c r="M7" s="142"/>
      <c r="N7" s="142"/>
      <c r="O7" s="142"/>
      <c r="P7" s="142"/>
      <c r="Q7" s="142"/>
      <c r="R7" s="142"/>
      <c r="S7" s="142"/>
      <c r="T7" s="100"/>
    </row>
    <row r="8" spans="1:20" x14ac:dyDescent="0.25">
      <c r="A8" s="142" t="s">
        <v>56</v>
      </c>
      <c r="B8" s="142"/>
      <c r="C8" s="142"/>
      <c r="D8" s="142"/>
      <c r="E8" s="142"/>
      <c r="F8" s="142"/>
      <c r="G8" s="142"/>
      <c r="H8" s="142"/>
      <c r="I8" s="142"/>
      <c r="J8" s="142"/>
      <c r="K8" s="142"/>
      <c r="L8" s="142"/>
      <c r="M8" s="142"/>
      <c r="N8" s="142"/>
      <c r="O8" s="142"/>
      <c r="P8" s="142"/>
      <c r="Q8" s="142"/>
      <c r="R8" s="142"/>
      <c r="S8" s="142"/>
      <c r="T8" s="100"/>
    </row>
    <row r="9" spans="1:20" x14ac:dyDescent="0.25">
      <c r="A9" s="142" t="s">
        <v>57</v>
      </c>
      <c r="B9" s="142"/>
      <c r="C9" s="142"/>
      <c r="D9" s="142"/>
      <c r="E9" s="142"/>
      <c r="F9" s="142"/>
      <c r="G9" s="142"/>
      <c r="H9" s="142"/>
      <c r="I9" s="142"/>
      <c r="J9" s="142"/>
      <c r="K9" s="142"/>
      <c r="L9" s="142"/>
      <c r="M9" s="142"/>
      <c r="N9" s="142"/>
      <c r="O9" s="142"/>
      <c r="P9" s="142"/>
      <c r="Q9" s="142"/>
      <c r="R9" s="142"/>
      <c r="S9" s="142"/>
      <c r="T9" s="100"/>
    </row>
    <row r="10" spans="1:20" x14ac:dyDescent="0.25">
      <c r="A10" s="142" t="s">
        <v>58</v>
      </c>
      <c r="B10" s="142"/>
      <c r="C10" s="142"/>
      <c r="D10" s="142"/>
      <c r="E10" s="142"/>
      <c r="F10" s="142"/>
      <c r="G10" s="142"/>
      <c r="H10" s="142"/>
      <c r="I10" s="142"/>
      <c r="J10" s="142"/>
      <c r="K10" s="142"/>
      <c r="L10" s="142"/>
      <c r="M10" s="142"/>
      <c r="N10" s="142"/>
      <c r="O10" s="142"/>
      <c r="P10" s="142"/>
      <c r="Q10" s="142"/>
      <c r="R10" s="142"/>
      <c r="S10" s="142"/>
      <c r="T10" s="100"/>
    </row>
    <row r="11" spans="1:20" x14ac:dyDescent="0.25">
      <c r="A11" s="99"/>
      <c r="B11" s="99"/>
      <c r="C11" s="99"/>
      <c r="D11" s="99"/>
      <c r="E11" s="99"/>
      <c r="F11" s="99"/>
      <c r="G11" s="99"/>
      <c r="H11" s="99"/>
      <c r="I11" s="99"/>
      <c r="J11" s="99"/>
      <c r="K11" s="99"/>
      <c r="L11" s="99"/>
      <c r="M11" s="99"/>
      <c r="N11" s="99"/>
      <c r="O11" s="99"/>
      <c r="P11" s="99"/>
      <c r="Q11" s="99" t="s">
        <v>74</v>
      </c>
      <c r="R11" s="99"/>
      <c r="S11" s="99"/>
      <c r="T11" s="100"/>
    </row>
    <row r="12" spans="1:20" x14ac:dyDescent="0.25">
      <c r="A12" s="99"/>
      <c r="B12" s="99"/>
      <c r="C12" s="99"/>
      <c r="D12" s="99"/>
      <c r="E12" s="99"/>
      <c r="F12" s="99"/>
      <c r="G12" s="99"/>
      <c r="H12" s="99"/>
      <c r="I12" s="99"/>
      <c r="J12" s="99"/>
      <c r="K12" s="99"/>
      <c r="L12" s="99"/>
      <c r="M12" s="99"/>
      <c r="N12" s="99"/>
      <c r="O12" s="99"/>
      <c r="P12" s="99"/>
      <c r="Q12" s="99"/>
      <c r="R12" s="99"/>
      <c r="S12" s="99"/>
      <c r="T12" s="100"/>
    </row>
    <row r="13" spans="1:20" x14ac:dyDescent="0.25">
      <c r="A13" s="99"/>
      <c r="B13" s="99"/>
      <c r="C13" s="99"/>
      <c r="D13" s="99"/>
      <c r="E13" s="99"/>
      <c r="F13" s="99"/>
      <c r="G13" s="99"/>
      <c r="H13" s="99"/>
      <c r="I13" s="99"/>
      <c r="J13" s="99"/>
      <c r="K13" s="99"/>
      <c r="L13" s="99"/>
      <c r="M13" s="99"/>
      <c r="N13" s="99"/>
      <c r="O13" s="99"/>
      <c r="P13" s="99"/>
      <c r="Q13" s="99"/>
      <c r="R13" s="99"/>
      <c r="S13" s="99"/>
      <c r="T13" s="100"/>
    </row>
    <row r="14" spans="1:20" x14ac:dyDescent="0.25">
      <c r="A14" s="99"/>
      <c r="B14" s="99"/>
      <c r="C14" s="99"/>
      <c r="D14" s="99"/>
      <c r="E14" s="99"/>
      <c r="F14" s="99"/>
      <c r="G14" s="99"/>
      <c r="H14" s="99"/>
      <c r="I14" s="99"/>
      <c r="J14" s="99"/>
      <c r="K14" s="99"/>
      <c r="L14" s="99"/>
      <c r="M14" s="99"/>
      <c r="N14" s="99"/>
      <c r="O14" s="99"/>
      <c r="P14" s="99"/>
      <c r="Q14" s="99"/>
      <c r="R14" s="99"/>
      <c r="S14" s="99"/>
      <c r="T14" s="100"/>
    </row>
    <row r="16" spans="1:20" x14ac:dyDescent="0.25">
      <c r="C16"/>
    </row>
    <row r="20" spans="2:2" x14ac:dyDescent="0.25">
      <c r="B20"/>
    </row>
  </sheetData>
  <mergeCells count="9">
    <mergeCell ref="A1:T1"/>
    <mergeCell ref="A2:T2"/>
    <mergeCell ref="A10:S10"/>
    <mergeCell ref="A4:S4"/>
    <mergeCell ref="A5:S5"/>
    <mergeCell ref="A6:S6"/>
    <mergeCell ref="A7:S7"/>
    <mergeCell ref="A8:S8"/>
    <mergeCell ref="A9:S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B96C9-CC44-4752-9FD3-DBB8E0279EDD}">
  <sheetPr codeName="Hoja12"/>
  <dimension ref="A1:M21"/>
  <sheetViews>
    <sheetView workbookViewId="0">
      <selection activeCell="D3" sqref="D3:F3"/>
    </sheetView>
  </sheetViews>
  <sheetFormatPr baseColWidth="10" defaultRowHeight="15" x14ac:dyDescent="0.25"/>
  <cols>
    <col min="3" max="3" width="25.28515625" bestFit="1" customWidth="1"/>
    <col min="6" max="6" width="30" bestFit="1" customWidth="1"/>
    <col min="9" max="9" width="37.85546875" bestFit="1" customWidth="1"/>
    <col min="12" max="12" width="35.85546875" bestFit="1" customWidth="1"/>
    <col min="13" max="13" width="11.5703125" customWidth="1"/>
  </cols>
  <sheetData>
    <row r="1" spans="1:13" ht="21" x14ac:dyDescent="0.25">
      <c r="A1" s="147" t="s">
        <v>72</v>
      </c>
      <c r="B1" s="148"/>
      <c r="C1" s="148"/>
      <c r="D1" s="148"/>
      <c r="E1" s="148"/>
      <c r="F1" s="148"/>
      <c r="G1" s="148"/>
      <c r="H1" s="148"/>
      <c r="I1" s="148"/>
      <c r="J1" s="148"/>
      <c r="K1" s="148"/>
      <c r="L1" s="148"/>
      <c r="M1" s="149"/>
    </row>
    <row r="2" spans="1:13" ht="29.25" x14ac:dyDescent="0.25">
      <c r="A2" s="150" t="s">
        <v>61</v>
      </c>
      <c r="B2" s="151"/>
      <c r="C2" s="151"/>
      <c r="D2" s="151"/>
      <c r="E2" s="151"/>
      <c r="F2" s="151"/>
      <c r="G2" s="151"/>
      <c r="H2" s="151"/>
      <c r="I2" s="151"/>
      <c r="J2" s="151"/>
      <c r="K2" s="151"/>
      <c r="L2" s="151"/>
      <c r="M2" s="152"/>
    </row>
    <row r="3" spans="1:13" ht="18" x14ac:dyDescent="0.25">
      <c r="A3" s="145" t="s">
        <v>73</v>
      </c>
      <c r="B3" s="146"/>
      <c r="C3" s="146"/>
      <c r="D3" s="144">
        <v>10000000000</v>
      </c>
      <c r="E3" s="144"/>
      <c r="F3" s="144"/>
      <c r="G3" s="83"/>
      <c r="H3" s="83"/>
      <c r="I3" s="103"/>
      <c r="J3" s="83"/>
      <c r="K3" s="83"/>
      <c r="L3" s="83"/>
      <c r="M3" s="84"/>
    </row>
    <row r="4" spans="1:13" ht="15.75" thickBot="1" x14ac:dyDescent="0.3">
      <c r="A4" s="82"/>
      <c r="B4" s="83"/>
      <c r="C4" s="83"/>
      <c r="D4" s="83"/>
      <c r="E4" s="83"/>
      <c r="F4" s="83"/>
      <c r="G4" s="83"/>
      <c r="H4" s="83"/>
      <c r="I4" s="83"/>
      <c r="J4" s="83"/>
      <c r="K4" s="83"/>
      <c r="L4" s="83"/>
      <c r="M4" s="84"/>
    </row>
    <row r="5" spans="1:13" ht="16.5" x14ac:dyDescent="0.25">
      <c r="A5" s="82"/>
      <c r="B5" s="85"/>
      <c r="C5" s="86"/>
      <c r="D5" s="83"/>
      <c r="E5" s="87"/>
      <c r="F5" s="88"/>
      <c r="G5" s="83"/>
      <c r="H5" s="87"/>
      <c r="I5" s="88"/>
      <c r="J5" s="83"/>
      <c r="K5" s="87"/>
      <c r="L5" s="88"/>
      <c r="M5" s="84"/>
    </row>
    <row r="6" spans="1:13" ht="16.5" x14ac:dyDescent="0.25">
      <c r="A6" s="82"/>
      <c r="B6" s="89"/>
      <c r="C6" s="143" t="s">
        <v>37</v>
      </c>
      <c r="D6" s="83"/>
      <c r="E6" s="91"/>
      <c r="F6" s="90" t="s">
        <v>62</v>
      </c>
      <c r="G6" s="83"/>
      <c r="H6" s="91"/>
      <c r="I6" s="90" t="s">
        <v>36</v>
      </c>
      <c r="J6" s="83"/>
      <c r="K6" s="91"/>
      <c r="L6" s="143" t="s">
        <v>63</v>
      </c>
      <c r="M6" s="84"/>
    </row>
    <row r="7" spans="1:13" ht="16.5" x14ac:dyDescent="0.25">
      <c r="A7" s="82"/>
      <c r="B7" s="89"/>
      <c r="C7" s="143"/>
      <c r="D7" s="83"/>
      <c r="E7" s="91"/>
      <c r="F7" s="90" t="s">
        <v>64</v>
      </c>
      <c r="G7" s="83"/>
      <c r="H7" s="91"/>
      <c r="I7" s="90" t="s">
        <v>65</v>
      </c>
      <c r="J7" s="83"/>
      <c r="K7" s="91"/>
      <c r="L7" s="143"/>
      <c r="M7" s="84"/>
    </row>
    <row r="8" spans="1:13" ht="17.25" thickBot="1" x14ac:dyDescent="0.3">
      <c r="A8" s="82"/>
      <c r="B8" s="92"/>
      <c r="C8" s="93"/>
      <c r="D8" s="83"/>
      <c r="E8" s="94"/>
      <c r="F8" s="95"/>
      <c r="G8" s="83"/>
      <c r="H8" s="94"/>
      <c r="I8" s="95"/>
      <c r="J8" s="83"/>
      <c r="K8" s="94"/>
      <c r="L8" s="95"/>
      <c r="M8" s="84"/>
    </row>
    <row r="9" spans="1:13" x14ac:dyDescent="0.25">
      <c r="A9" s="82"/>
      <c r="B9" s="83"/>
      <c r="C9" s="83"/>
      <c r="D9" s="83"/>
      <c r="E9" s="83"/>
      <c r="F9" s="83"/>
      <c r="G9" s="83"/>
      <c r="H9" s="83"/>
      <c r="I9" s="83"/>
      <c r="J9" s="83"/>
      <c r="K9" s="83"/>
      <c r="L9" s="83"/>
      <c r="M9" s="84"/>
    </row>
    <row r="10" spans="1:13" ht="15.75" thickBot="1" x14ac:dyDescent="0.3">
      <c r="A10" s="82"/>
      <c r="B10" s="83"/>
      <c r="C10" s="83"/>
      <c r="D10" s="83"/>
      <c r="E10" s="83"/>
      <c r="F10" s="83"/>
      <c r="G10" s="83"/>
      <c r="H10" s="83"/>
      <c r="I10" s="83"/>
      <c r="J10" s="83"/>
      <c r="K10" s="83"/>
      <c r="L10" s="83"/>
      <c r="M10" s="84"/>
    </row>
    <row r="11" spans="1:13" ht="16.5" x14ac:dyDescent="0.25">
      <c r="A11" s="82"/>
      <c r="B11" s="85"/>
      <c r="C11" s="86"/>
      <c r="D11" s="83"/>
      <c r="E11" s="87"/>
      <c r="F11" s="88"/>
      <c r="G11" s="83"/>
      <c r="H11" s="87"/>
      <c r="I11" s="88"/>
      <c r="J11" s="83"/>
      <c r="K11" s="87"/>
      <c r="L11" s="88"/>
      <c r="M11" s="84"/>
    </row>
    <row r="12" spans="1:13" ht="16.5" x14ac:dyDescent="0.25">
      <c r="A12" s="82"/>
      <c r="B12" s="89"/>
      <c r="C12" s="143" t="s">
        <v>66</v>
      </c>
      <c r="D12" s="83"/>
      <c r="E12" s="91"/>
      <c r="F12" s="90" t="s">
        <v>36</v>
      </c>
      <c r="G12" s="83"/>
      <c r="H12" s="91"/>
      <c r="I12" s="143" t="s">
        <v>67</v>
      </c>
      <c r="J12" s="83"/>
      <c r="K12" s="91"/>
      <c r="L12" s="143" t="s">
        <v>68</v>
      </c>
      <c r="M12" s="84"/>
    </row>
    <row r="13" spans="1:13" ht="16.5" x14ac:dyDescent="0.25">
      <c r="A13" s="82"/>
      <c r="B13" s="89"/>
      <c r="C13" s="143"/>
      <c r="D13" s="83"/>
      <c r="E13" s="91"/>
      <c r="F13" s="90" t="s">
        <v>69</v>
      </c>
      <c r="G13" s="83"/>
      <c r="H13" s="91"/>
      <c r="I13" s="143"/>
      <c r="J13" s="83"/>
      <c r="K13" s="91"/>
      <c r="L13" s="143"/>
      <c r="M13" s="84"/>
    </row>
    <row r="14" spans="1:13" ht="17.25" thickBot="1" x14ac:dyDescent="0.3">
      <c r="A14" s="82"/>
      <c r="B14" s="92"/>
      <c r="C14" s="93"/>
      <c r="D14" s="83"/>
      <c r="E14" s="94"/>
      <c r="F14" s="95"/>
      <c r="G14" s="83"/>
      <c r="H14" s="94"/>
      <c r="I14" s="95"/>
      <c r="J14" s="83"/>
      <c r="K14" s="94"/>
      <c r="L14" s="95"/>
      <c r="M14" s="84"/>
    </row>
    <row r="15" spans="1:13" ht="15.75" thickBot="1" x14ac:dyDescent="0.3">
      <c r="A15" s="82"/>
      <c r="B15" s="83"/>
      <c r="C15" s="83"/>
      <c r="D15" s="83"/>
      <c r="E15" s="83"/>
      <c r="F15" s="83"/>
      <c r="G15" s="83"/>
      <c r="H15" s="83"/>
      <c r="I15" s="83"/>
      <c r="J15" s="83"/>
      <c r="K15" s="83"/>
      <c r="L15" s="83"/>
      <c r="M15" s="84"/>
    </row>
    <row r="16" spans="1:13" ht="16.5" x14ac:dyDescent="0.25">
      <c r="A16" s="82"/>
      <c r="B16" s="85"/>
      <c r="C16" s="86"/>
      <c r="D16" s="83"/>
      <c r="E16" s="87"/>
      <c r="F16" s="88"/>
      <c r="G16" s="83"/>
      <c r="H16" s="87"/>
      <c r="I16" s="88"/>
      <c r="J16" s="83"/>
      <c r="K16" s="87"/>
      <c r="L16" s="88"/>
      <c r="M16" s="84"/>
    </row>
    <row r="17" spans="1:13" ht="16.5" x14ac:dyDescent="0.25">
      <c r="A17" s="82"/>
      <c r="B17" s="89"/>
      <c r="C17" s="90" t="s">
        <v>26</v>
      </c>
      <c r="D17" s="83"/>
      <c r="E17" s="91"/>
      <c r="F17" s="90" t="s">
        <v>36</v>
      </c>
      <c r="G17" s="83"/>
      <c r="H17" s="91"/>
      <c r="I17" s="143" t="s">
        <v>70</v>
      </c>
      <c r="J17" s="83"/>
      <c r="K17" s="91"/>
      <c r="L17" s="143" t="s">
        <v>140</v>
      </c>
      <c r="M17" s="84"/>
    </row>
    <row r="18" spans="1:13" ht="16.5" x14ac:dyDescent="0.25">
      <c r="A18" s="82"/>
      <c r="B18" s="89"/>
      <c r="C18" s="90" t="s">
        <v>27</v>
      </c>
      <c r="D18" s="83"/>
      <c r="E18" s="91"/>
      <c r="F18" s="90" t="s">
        <v>71</v>
      </c>
      <c r="G18" s="83"/>
      <c r="H18" s="91"/>
      <c r="I18" s="143"/>
      <c r="J18" s="83"/>
      <c r="K18" s="91"/>
      <c r="L18" s="143"/>
      <c r="M18" s="84"/>
    </row>
    <row r="19" spans="1:13" ht="17.25" thickBot="1" x14ac:dyDescent="0.3">
      <c r="A19" s="82"/>
      <c r="B19" s="92"/>
      <c r="C19" s="95" t="s">
        <v>28</v>
      </c>
      <c r="D19" s="83"/>
      <c r="E19" s="94"/>
      <c r="F19" s="95"/>
      <c r="G19" s="83"/>
      <c r="H19" s="94"/>
      <c r="I19" s="95"/>
      <c r="J19" s="83"/>
      <c r="K19" s="94"/>
      <c r="L19" s="95"/>
      <c r="M19" s="84"/>
    </row>
    <row r="20" spans="1:13" x14ac:dyDescent="0.25">
      <c r="A20" s="82"/>
      <c r="B20" s="83"/>
      <c r="C20" s="83"/>
      <c r="D20" s="83"/>
      <c r="E20" s="83"/>
      <c r="F20" s="83"/>
      <c r="G20" s="83"/>
      <c r="H20" s="83"/>
      <c r="I20" s="83"/>
      <c r="J20" s="83"/>
      <c r="K20" s="83"/>
      <c r="L20" s="83"/>
      <c r="M20" s="84"/>
    </row>
    <row r="21" spans="1:13" ht="15.75" thickBot="1" x14ac:dyDescent="0.3">
      <c r="A21" s="96"/>
      <c r="B21" s="97"/>
      <c r="C21" s="97"/>
      <c r="D21" s="97"/>
      <c r="E21" s="97"/>
      <c r="F21" s="97"/>
      <c r="G21" s="97"/>
      <c r="H21" s="97"/>
      <c r="I21" s="97"/>
      <c r="J21" s="97"/>
      <c r="K21" s="97"/>
      <c r="L21" s="97"/>
      <c r="M21" s="98"/>
    </row>
  </sheetData>
  <mergeCells count="11">
    <mergeCell ref="I17:I18"/>
    <mergeCell ref="D3:F3"/>
    <mergeCell ref="A3:C3"/>
    <mergeCell ref="A1:M1"/>
    <mergeCell ref="A2:M2"/>
    <mergeCell ref="C6:C7"/>
    <mergeCell ref="L6:L7"/>
    <mergeCell ref="C12:C13"/>
    <mergeCell ref="I12:I13"/>
    <mergeCell ref="L12:L13"/>
    <mergeCell ref="L17:L1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U506"/>
  <sheetViews>
    <sheetView workbookViewId="0">
      <selection activeCell="C3" sqref="C3:C506"/>
    </sheetView>
  </sheetViews>
  <sheetFormatPr baseColWidth="10" defaultRowHeight="16.5" x14ac:dyDescent="0.3"/>
  <cols>
    <col min="1" max="1" width="13.85546875" style="3" bestFit="1" customWidth="1"/>
    <col min="2" max="8" width="16.42578125" style="3" bestFit="1" customWidth="1"/>
    <col min="9" max="9" width="17.42578125" style="3" bestFit="1" customWidth="1"/>
    <col min="10" max="22" width="16.42578125" style="3" bestFit="1" customWidth="1"/>
    <col min="23" max="23" width="16.5703125" style="3" bestFit="1" customWidth="1"/>
    <col min="24" max="26" width="16.42578125" style="3" bestFit="1" customWidth="1"/>
    <col min="27" max="27" width="15.140625" style="3" bestFit="1" customWidth="1"/>
    <col min="28" max="28" width="16" style="3" bestFit="1" customWidth="1"/>
    <col min="29" max="40" width="16.42578125" style="3" bestFit="1" customWidth="1"/>
    <col min="41" max="41" width="11.42578125" style="3"/>
    <col min="42" max="73" width="11.42578125" style="6"/>
  </cols>
  <sheetData>
    <row r="1" spans="1:40" ht="71.25" customHeight="1" thickBot="1" x14ac:dyDescent="0.35">
      <c r="B1" s="153" t="s">
        <v>37</v>
      </c>
      <c r="C1" s="153"/>
      <c r="D1" s="153"/>
      <c r="E1" s="153"/>
      <c r="F1" s="153"/>
      <c r="G1" s="153"/>
    </row>
    <row r="2" spans="1:40" ht="17.25" thickBot="1" x14ac:dyDescent="0.35">
      <c r="A2" s="1" t="s">
        <v>25</v>
      </c>
      <c r="B2" s="2" t="s">
        <v>0</v>
      </c>
      <c r="C2" s="1" t="s">
        <v>1</v>
      </c>
      <c r="D2" s="2" t="s">
        <v>2</v>
      </c>
      <c r="E2" s="1" t="s">
        <v>3</v>
      </c>
      <c r="F2" s="2" t="s">
        <v>24</v>
      </c>
      <c r="G2" s="1" t="s">
        <v>4</v>
      </c>
      <c r="H2" s="2" t="s">
        <v>5</v>
      </c>
      <c r="I2" s="1" t="s">
        <v>6</v>
      </c>
      <c r="J2" s="2" t="s">
        <v>7</v>
      </c>
      <c r="K2" s="1" t="s">
        <v>8</v>
      </c>
      <c r="L2" s="2" t="s">
        <v>9</v>
      </c>
      <c r="M2" s="1" t="s">
        <v>10</v>
      </c>
      <c r="N2" s="2" t="s">
        <v>11</v>
      </c>
      <c r="O2" s="1" t="s">
        <v>12</v>
      </c>
      <c r="P2" s="2" t="s">
        <v>13</v>
      </c>
      <c r="Q2" s="1" t="s">
        <v>14</v>
      </c>
      <c r="R2" s="2" t="s">
        <v>15</v>
      </c>
      <c r="S2" s="1" t="s">
        <v>16</v>
      </c>
      <c r="T2" s="2" t="s">
        <v>17</v>
      </c>
      <c r="U2" s="1" t="s">
        <v>18</v>
      </c>
      <c r="V2" s="2" t="s">
        <v>19</v>
      </c>
      <c r="W2" s="1" t="s">
        <v>20</v>
      </c>
      <c r="X2" s="2" t="s">
        <v>21</v>
      </c>
      <c r="Y2" s="1" t="s">
        <v>22</v>
      </c>
      <c r="Z2" s="2" t="s">
        <v>23</v>
      </c>
      <c r="AA2" s="1" t="s">
        <v>77</v>
      </c>
      <c r="AB2" s="2" t="s">
        <v>78</v>
      </c>
      <c r="AC2" s="1" t="s">
        <v>79</v>
      </c>
      <c r="AD2" s="2" t="s">
        <v>80</v>
      </c>
      <c r="AE2" s="1" t="s">
        <v>81</v>
      </c>
      <c r="AF2" s="2" t="s">
        <v>82</v>
      </c>
      <c r="AG2" s="1" t="s">
        <v>83</v>
      </c>
      <c r="AH2" s="2" t="s">
        <v>118</v>
      </c>
      <c r="AI2" s="1" t="s">
        <v>121</v>
      </c>
      <c r="AJ2" s="2" t="s">
        <v>84</v>
      </c>
      <c r="AK2" s="1" t="s">
        <v>85</v>
      </c>
      <c r="AL2" s="2" t="s">
        <v>124</v>
      </c>
      <c r="AM2" s="1" t="s">
        <v>86</v>
      </c>
      <c r="AN2" s="2" t="s">
        <v>87</v>
      </c>
    </row>
    <row r="3" spans="1:40" x14ac:dyDescent="0.3">
      <c r="A3" s="101">
        <v>44319</v>
      </c>
      <c r="B3" s="3">
        <v>4.1402334611266986E-3</v>
      </c>
      <c r="C3" s="3">
        <v>9.1129238806477719E-3</v>
      </c>
      <c r="D3" s="3">
        <v>-1.075266423476492E-2</v>
      </c>
      <c r="E3" s="3">
        <v>-2.2066045795234822E-2</v>
      </c>
      <c r="F3" s="3">
        <v>3.5023313203854782E-3</v>
      </c>
      <c r="G3" s="3">
        <v>-9.2383495929827825E-3</v>
      </c>
      <c r="H3" s="3">
        <v>-4.8044929125074963E-3</v>
      </c>
      <c r="I3" s="3">
        <v>-1.9480251224259252E-3</v>
      </c>
      <c r="J3" s="3">
        <v>-1.192410316408171E-2</v>
      </c>
      <c r="K3" s="3">
        <v>0</v>
      </c>
      <c r="L3" s="3">
        <v>-1.0790968335677727E-2</v>
      </c>
      <c r="M3" s="3">
        <v>0.43441636582430804</v>
      </c>
      <c r="N3" s="3">
        <v>-3.2461928349764295E-2</v>
      </c>
      <c r="O3" s="3">
        <v>-5.3327501626234232E-3</v>
      </c>
      <c r="P3" s="3">
        <v>-1.7674372093023326E-2</v>
      </c>
      <c r="Q3" s="3">
        <v>1.9607841893814919E-2</v>
      </c>
      <c r="R3" s="3">
        <v>-3.7494288714248682E-2</v>
      </c>
      <c r="S3" s="3">
        <v>3.2657287913846164E-4</v>
      </c>
      <c r="T3" s="3">
        <v>-4.5985759055861823E-2</v>
      </c>
      <c r="U3" s="3">
        <v>-3.6931232851940221E-2</v>
      </c>
      <c r="V3" s="3">
        <v>-8.6526289323202617E-3</v>
      </c>
      <c r="W3" s="3">
        <v>5.991841236002428E-3</v>
      </c>
      <c r="X3" s="3">
        <v>1.4584632961643782E-2</v>
      </c>
      <c r="Y3" s="3">
        <v>9.6835707452790128E-3</v>
      </c>
      <c r="Z3" s="3">
        <v>1.0956175298804903E-2</v>
      </c>
      <c r="AA3" s="3">
        <v>-6.9073594832905292E-3</v>
      </c>
      <c r="AB3" s="3">
        <v>-5.7786572144900338E-3</v>
      </c>
      <c r="AC3" s="3">
        <v>1.7308518060804835E-2</v>
      </c>
      <c r="AD3" s="3">
        <v>-7.1220596355170782E-3</v>
      </c>
      <c r="AE3" s="3">
        <v>-2.0514985745419587E-2</v>
      </c>
      <c r="AF3" s="3">
        <v>3.0971350726552219E-2</v>
      </c>
      <c r="AG3" s="3">
        <v>-3.4246573666997502E-3</v>
      </c>
      <c r="AH3" s="3">
        <v>3.9014497681498814E-3</v>
      </c>
      <c r="AI3" s="3">
        <v>-3.6453306802035059E-3</v>
      </c>
      <c r="AJ3" s="3">
        <v>5.1627849665351879E-3</v>
      </c>
      <c r="AK3" s="3">
        <v>0</v>
      </c>
      <c r="AL3" s="3">
        <v>-7.5545328201299519E-3</v>
      </c>
      <c r="AM3" s="3">
        <v>-3.4026648199979269E-3</v>
      </c>
      <c r="AN3" s="3">
        <v>9.5084200536324388E-3</v>
      </c>
    </row>
    <row r="4" spans="1:40" x14ac:dyDescent="0.3">
      <c r="A4" s="101">
        <v>44320</v>
      </c>
      <c r="B4" s="3">
        <v>-4.4402175786084193E-2</v>
      </c>
      <c r="C4" s="3">
        <v>-3.4117208458533245E-3</v>
      </c>
      <c r="D4" s="3">
        <v>6.2499648380581627E-2</v>
      </c>
      <c r="E4" s="3">
        <v>-3.7029526108649E-2</v>
      </c>
      <c r="F4" s="3">
        <v>4.8142817815876844E-3</v>
      </c>
      <c r="G4" s="3">
        <v>-4.2565376803851585E-2</v>
      </c>
      <c r="H4" s="3">
        <v>-1.0436153929404926E-4</v>
      </c>
      <c r="I4" s="3">
        <v>3.3181597860248532E-2</v>
      </c>
      <c r="J4" s="3">
        <v>-3.7986880591404731E-2</v>
      </c>
      <c r="K4" s="3">
        <v>0</v>
      </c>
      <c r="L4" s="3">
        <v>-2.2066045795234822E-2</v>
      </c>
      <c r="M4" s="3">
        <v>-0.76929530201342278</v>
      </c>
      <c r="N4" s="3">
        <v>1.2091609633980961E-2</v>
      </c>
      <c r="O4" s="3">
        <v>-2.9706303823234571E-2</v>
      </c>
      <c r="P4" s="3">
        <v>-2.3200851174201981E-2</v>
      </c>
      <c r="Q4" s="3">
        <v>-3.2451940653433084E-2</v>
      </c>
      <c r="R4" s="3">
        <v>-6.1834314833223688E-3</v>
      </c>
      <c r="S4" s="3">
        <v>-1.1096663450721937E-2</v>
      </c>
      <c r="T4" s="3">
        <v>1.5804091604339647E-2</v>
      </c>
      <c r="U4" s="3">
        <v>4.1068890175760736E-2</v>
      </c>
      <c r="V4" s="3">
        <v>6.2343778592144549E-3</v>
      </c>
      <c r="W4" s="3">
        <v>-3.8557950360126804E-2</v>
      </c>
      <c r="X4" s="3">
        <v>-5.208333333333333E-3</v>
      </c>
      <c r="Y4" s="3">
        <v>-1.0773172456760667E-2</v>
      </c>
      <c r="Z4" s="3">
        <v>-1.2807881773399091E-2</v>
      </c>
      <c r="AA4" s="3">
        <v>9.3439749345670189E-3</v>
      </c>
      <c r="AB4" s="3">
        <v>1.9448511598226529E-2</v>
      </c>
      <c r="AC4" s="3">
        <v>6.035593737652295E-2</v>
      </c>
      <c r="AD4" s="3">
        <v>1.7299727778633464E-2</v>
      </c>
      <c r="AE4" s="3">
        <v>8.7916223614451575E-3</v>
      </c>
      <c r="AF4" s="3">
        <v>-5.0906366141398134E-4</v>
      </c>
      <c r="AG4" s="3">
        <v>1.1291064737797655E-2</v>
      </c>
      <c r="AH4" s="3">
        <v>-1.0463256813840943E-2</v>
      </c>
      <c r="AI4" s="3">
        <v>2.4249111582325802E-2</v>
      </c>
      <c r="AJ4" s="3">
        <v>1.5735644003016389E-2</v>
      </c>
      <c r="AK4" s="3">
        <v>4.5871559633027359E-2</v>
      </c>
      <c r="AL4" s="3">
        <v>2.4197585680151824E-2</v>
      </c>
      <c r="AM4" s="3">
        <v>-7.4716121247683258E-3</v>
      </c>
      <c r="AN4" s="3">
        <v>1.9846276490683375E-2</v>
      </c>
    </row>
    <row r="5" spans="1:40" x14ac:dyDescent="0.3">
      <c r="A5" s="101">
        <v>44321</v>
      </c>
      <c r="B5" s="3">
        <v>-1.4603315098289807E-2</v>
      </c>
      <c r="C5" s="3">
        <v>1.8123332053406497E-2</v>
      </c>
      <c r="D5" s="3">
        <v>2.5577384096273051E-3</v>
      </c>
      <c r="E5" s="3">
        <v>1.2377026781743062E-2</v>
      </c>
      <c r="F5" s="3">
        <v>8.5040027591690801E-3</v>
      </c>
      <c r="G5" s="3">
        <v>1.9403762523372222E-2</v>
      </c>
      <c r="H5" s="3">
        <v>-9.5056225815554167E-3</v>
      </c>
      <c r="I5" s="3">
        <v>1.5742983712395065E-2</v>
      </c>
      <c r="J5" s="3">
        <v>-3.6778298460541411E-2</v>
      </c>
      <c r="K5" s="3">
        <v>-8.8888888888888577E-3</v>
      </c>
      <c r="L5" s="3">
        <v>-3.7029526108649E-2</v>
      </c>
      <c r="M5" s="3">
        <v>1.1636363636363636</v>
      </c>
      <c r="N5" s="3">
        <v>-1.4207532458012314E-2</v>
      </c>
      <c r="O5" s="3">
        <v>-2.4637600525251987E-2</v>
      </c>
      <c r="P5" s="3">
        <v>2.3751915838677303E-2</v>
      </c>
      <c r="Q5" s="3">
        <v>-3.60248222262812E-2</v>
      </c>
      <c r="R5" s="3">
        <v>-2.8620244411376457E-2</v>
      </c>
      <c r="S5" s="3">
        <v>2.4422575600560822E-2</v>
      </c>
      <c r="T5" s="3">
        <v>-9.723880159915356E-3</v>
      </c>
      <c r="U5" s="3">
        <v>-2.0912576056567152E-2</v>
      </c>
      <c r="V5" s="3">
        <v>2.850054051726358E-2</v>
      </c>
      <c r="W5" s="3">
        <v>2.1193365061462844E-2</v>
      </c>
      <c r="X5" s="3">
        <v>5.235602094240838E-3</v>
      </c>
      <c r="Y5" s="3">
        <v>5.5116675877989862E-3</v>
      </c>
      <c r="Z5" s="3">
        <v>1.4970059880239557E-2</v>
      </c>
      <c r="AA5" s="3">
        <v>1.4762831583434588E-2</v>
      </c>
      <c r="AB5" s="3">
        <v>-7.4553748529706514E-3</v>
      </c>
      <c r="AC5" s="3">
        <v>6.1747097178992162E-3</v>
      </c>
      <c r="AD5" s="3">
        <v>-1.5761145565387439E-2</v>
      </c>
      <c r="AE5" s="3">
        <v>-1.9993198735533225E-2</v>
      </c>
      <c r="AF5" s="3">
        <v>1.0697694779169757E-2</v>
      </c>
      <c r="AG5" s="3">
        <v>-2.5728155339805877E-2</v>
      </c>
      <c r="AH5" s="3">
        <v>-7.5544216864403553E-4</v>
      </c>
      <c r="AI5" s="3">
        <v>-1.4371096262017925E-2</v>
      </c>
      <c r="AJ5" s="3">
        <v>1.4093869862075652E-2</v>
      </c>
      <c r="AK5" s="3">
        <v>1.7543859649122823E-2</v>
      </c>
      <c r="AL5" s="3">
        <v>-2.7866242434403748E-3</v>
      </c>
      <c r="AM5" s="3">
        <v>-2.5509890473722624E-2</v>
      </c>
      <c r="AN5" s="3">
        <v>-2.0496928977551239E-2</v>
      </c>
    </row>
    <row r="6" spans="1:40" x14ac:dyDescent="0.3">
      <c r="A6" s="101">
        <v>44322</v>
      </c>
      <c r="B6" s="3">
        <v>3.8733541868370032E-2</v>
      </c>
      <c r="C6" s="3">
        <v>7.3179646546725216E-3</v>
      </c>
      <c r="D6" s="3">
        <v>-4.0816240302564769E-2</v>
      </c>
      <c r="E6" s="3">
        <v>-2.3615446974354873E-2</v>
      </c>
      <c r="F6" s="3">
        <v>7.1261640105965999E-4</v>
      </c>
      <c r="G6" s="3">
        <v>1.6190206249643058E-2</v>
      </c>
      <c r="H6" s="3">
        <v>-2.7631424891699633E-3</v>
      </c>
      <c r="I6" s="3">
        <v>-2.2938561586717011E-2</v>
      </c>
      <c r="J6" s="3">
        <v>7.2073441315790091E-2</v>
      </c>
      <c r="K6" s="3">
        <v>0</v>
      </c>
      <c r="L6" s="3">
        <v>1.2377026781743062E-2</v>
      </c>
      <c r="M6" s="3">
        <v>0.93781512605042017</v>
      </c>
      <c r="N6" s="3">
        <v>-2.1290460754582158E-2</v>
      </c>
      <c r="O6" s="3">
        <v>7.615141499004445E-2</v>
      </c>
      <c r="P6" s="3">
        <v>-2.3674714788128179E-3</v>
      </c>
      <c r="Q6" s="3">
        <v>1.0309444366737697E-2</v>
      </c>
      <c r="R6" s="3">
        <v>-5.7646527413231941E-3</v>
      </c>
      <c r="S6" s="3">
        <v>-2.8352517076512367E-2</v>
      </c>
      <c r="T6" s="3">
        <v>-4.1241161295429464E-2</v>
      </c>
      <c r="U6" s="3">
        <v>-2.2815474827602253E-2</v>
      </c>
      <c r="V6" s="3">
        <v>-1.9277060930572083E-2</v>
      </c>
      <c r="W6" s="3">
        <v>3.1927763825547848E-3</v>
      </c>
      <c r="X6" s="3">
        <v>1.8750000000000711E-3</v>
      </c>
      <c r="Y6" s="3">
        <v>1.0170446574698792E-2</v>
      </c>
      <c r="Z6" s="3">
        <v>1.0816125860373593E-2</v>
      </c>
      <c r="AA6" s="3">
        <v>-1.2953069428542019E-2</v>
      </c>
      <c r="AB6" s="3">
        <v>6.4383526292409055E-3</v>
      </c>
      <c r="AC6" s="3">
        <v>1.5212433619484125E-2</v>
      </c>
      <c r="AD6" s="3">
        <v>-5.0570016045203784E-3</v>
      </c>
      <c r="AE6" s="3">
        <v>-5.3966827915435743E-2</v>
      </c>
      <c r="AF6" s="3">
        <v>-1.2600471865650753E-2</v>
      </c>
      <c r="AG6" s="3">
        <v>-9.9650722471351181E-3</v>
      </c>
      <c r="AH6" s="3">
        <v>8.3144610866093243E-3</v>
      </c>
      <c r="AI6" s="3">
        <v>4.6354415350497863E-3</v>
      </c>
      <c r="AJ6" s="3">
        <v>-5.4107372762846649E-3</v>
      </c>
      <c r="AK6" s="3">
        <v>0.11206896551724149</v>
      </c>
      <c r="AL6" s="3">
        <v>5.4320645199895396E-3</v>
      </c>
      <c r="AM6" s="3">
        <v>-1.5885370773639024E-2</v>
      </c>
      <c r="AN6" s="3">
        <v>-4.0298193356027171E-3</v>
      </c>
    </row>
    <row r="7" spans="1:40" x14ac:dyDescent="0.3">
      <c r="A7" s="101">
        <v>44323</v>
      </c>
      <c r="B7" s="3">
        <v>1.0376118741975209E-2</v>
      </c>
      <c r="C7" s="3">
        <v>1.9637011187758382E-4</v>
      </c>
      <c r="D7" s="3">
        <v>3.4574323107749445E-2</v>
      </c>
      <c r="E7" s="3">
        <v>2.0601362266484034E-2</v>
      </c>
      <c r="F7" s="3">
        <v>-1.6378035533472987E-2</v>
      </c>
      <c r="G7" s="3">
        <v>-1.5645127476536076E-2</v>
      </c>
      <c r="H7" s="3">
        <v>1.2981269714545184E-2</v>
      </c>
      <c r="I7" s="3">
        <v>-1.5862919538267805E-2</v>
      </c>
      <c r="J7" s="3">
        <v>-9.1109501957081663E-3</v>
      </c>
      <c r="K7" s="3">
        <v>0</v>
      </c>
      <c r="L7" s="3">
        <v>-2.3615446974354873E-2</v>
      </c>
      <c r="M7" s="3">
        <v>-2.4284475281873375E-2</v>
      </c>
      <c r="N7" s="3">
        <v>-1.2605930549484909E-2</v>
      </c>
      <c r="O7" s="3">
        <v>-2.5629936288705035E-2</v>
      </c>
      <c r="P7" s="3">
        <v>-8.0683436165164546E-3</v>
      </c>
      <c r="Q7" s="3">
        <v>-2.5510610695121385E-3</v>
      </c>
      <c r="R7" s="3">
        <v>4.1552559456814395E-2</v>
      </c>
      <c r="S7" s="3">
        <v>-1.0169290139374416E-2</v>
      </c>
      <c r="T7" s="3">
        <v>-2.0482647849428266E-3</v>
      </c>
      <c r="U7" s="3">
        <v>-4.4708459375987315E-3</v>
      </c>
      <c r="V7" s="3">
        <v>2.0884527615278876E-2</v>
      </c>
      <c r="W7" s="3">
        <v>2.2915315979747823E-2</v>
      </c>
      <c r="X7" s="3">
        <v>3.9717196922437026E-2</v>
      </c>
      <c r="Y7" s="3">
        <v>4.5108980676236646E-3</v>
      </c>
      <c r="Z7" s="3">
        <v>-9.7276264591437619E-4</v>
      </c>
      <c r="AA7" s="3">
        <v>2.4360309363422872E-3</v>
      </c>
      <c r="AB7" s="3">
        <v>-6.7736105584421634E-3</v>
      </c>
      <c r="AC7" s="3">
        <v>-1.1536362665933931E-2</v>
      </c>
      <c r="AD7" s="3">
        <v>0.100804739656553</v>
      </c>
      <c r="AE7" s="3">
        <v>-8.478536384139047E-3</v>
      </c>
      <c r="AF7" s="3">
        <v>3.9816082191646431E-2</v>
      </c>
      <c r="AG7" s="3">
        <v>3.0699495183719519E-2</v>
      </c>
      <c r="AH7" s="3">
        <v>6.8965564392366591E-2</v>
      </c>
      <c r="AI7" s="3">
        <v>4.7650968183616395E-2</v>
      </c>
      <c r="AJ7" s="3">
        <v>3.0613403115450005E-2</v>
      </c>
      <c r="AK7" s="3">
        <v>-9.302325581395357E-2</v>
      </c>
      <c r="AL7" s="3">
        <v>4.6793718365098604E-3</v>
      </c>
      <c r="AM7" s="3">
        <v>-3.38908454364205E-2</v>
      </c>
      <c r="AN7" s="3">
        <v>-6.1636189526999017E-3</v>
      </c>
    </row>
    <row r="8" spans="1:40" x14ac:dyDescent="0.3">
      <c r="A8" s="101">
        <v>44326</v>
      </c>
      <c r="B8" s="3">
        <v>2.7599471440081312E-2</v>
      </c>
      <c r="C8" s="3">
        <v>0</v>
      </c>
      <c r="D8" s="3">
        <v>-3.5989509945194655E-2</v>
      </c>
      <c r="E8" s="3">
        <v>-1.2058573624374291E-3</v>
      </c>
      <c r="F8" s="3">
        <v>-1.0859013924767059E-2</v>
      </c>
      <c r="G8" s="3">
        <v>5.1691424564263018E-2</v>
      </c>
      <c r="H8" s="3">
        <v>5.7951081560354389E-4</v>
      </c>
      <c r="I8" s="3">
        <v>-1.4184464620776303E-2</v>
      </c>
      <c r="J8" s="3">
        <v>5.0013929475747503E-2</v>
      </c>
      <c r="K8" s="3">
        <v>2.690582959641246E-2</v>
      </c>
      <c r="L8" s="3">
        <v>2.0601362266484034E-2</v>
      </c>
      <c r="M8" s="3">
        <v>-0.56799999999999995</v>
      </c>
      <c r="N8" s="3">
        <v>4.2932403850558581E-3</v>
      </c>
      <c r="O8" s="3">
        <v>3.4186496967678982E-2</v>
      </c>
      <c r="P8" s="3">
        <v>2.7272679425837457E-2</v>
      </c>
      <c r="Q8" s="3">
        <v>1.278750949001637E-3</v>
      </c>
      <c r="R8" s="3">
        <v>0</v>
      </c>
      <c r="S8" s="3">
        <v>0</v>
      </c>
      <c r="T8" s="3">
        <v>1.4367702303403101E-2</v>
      </c>
      <c r="U8" s="3">
        <v>2.7694493707211547E-2</v>
      </c>
      <c r="V8" s="3">
        <v>-1.5643795457753306E-2</v>
      </c>
      <c r="W8" s="3">
        <v>-4.6670945475297074E-3</v>
      </c>
      <c r="X8" s="3">
        <v>2.4000020000000007E-2</v>
      </c>
      <c r="Y8" s="3">
        <v>9.1767266844150677E-3</v>
      </c>
      <c r="Z8" s="3">
        <v>2.629016553067182E-2</v>
      </c>
      <c r="AA8" s="3">
        <v>1.6608497785115528E-3</v>
      </c>
      <c r="AB8" s="3">
        <v>4.3571313942475497E-3</v>
      </c>
      <c r="AC8" s="3">
        <v>-1.317828613064111E-2</v>
      </c>
      <c r="AD8" s="3">
        <v>2.2316261842599043E-2</v>
      </c>
      <c r="AE8" s="3">
        <v>-9.57336219252212E-3</v>
      </c>
      <c r="AF8" s="3">
        <v>8.051052468483956E-2</v>
      </c>
      <c r="AG8" s="3">
        <v>2.5878906250000056E-2</v>
      </c>
      <c r="AH8" s="3">
        <v>-4.6283299392938855E-2</v>
      </c>
      <c r="AI8" s="3">
        <v>3.5233814087200811E-2</v>
      </c>
      <c r="AJ8" s="3">
        <v>3.363694209729505E-2</v>
      </c>
      <c r="AK8" s="3">
        <v>8.5470085470085548E-3</v>
      </c>
      <c r="AL8" s="3">
        <v>5.7867921634635004E-4</v>
      </c>
      <c r="AM8" s="3">
        <v>1.2344253769044982E-2</v>
      </c>
      <c r="AN8" s="3">
        <v>-4.736037512720951E-3</v>
      </c>
    </row>
    <row r="9" spans="1:40" x14ac:dyDescent="0.3">
      <c r="A9" s="101">
        <v>44327</v>
      </c>
      <c r="B9" s="3">
        <v>-3.3728921354233173E-2</v>
      </c>
      <c r="C9" s="3">
        <v>7.2635930437080325E-3</v>
      </c>
      <c r="D9" s="3">
        <v>-4.0000253961103113E-2</v>
      </c>
      <c r="E9" s="3">
        <v>-2.4724299129818134E-2</v>
      </c>
      <c r="F9" s="3">
        <v>4.5133284574873696E-3</v>
      </c>
      <c r="G9" s="3">
        <v>2.6551140381282548E-2</v>
      </c>
      <c r="H9" s="3">
        <v>1.0622072752124578E-2</v>
      </c>
      <c r="I9" s="3">
        <v>-9.810332149060845E-3</v>
      </c>
      <c r="J9" s="3">
        <v>-4.0201686909703917E-2</v>
      </c>
      <c r="K9" s="3">
        <v>3.0567685589519777E-2</v>
      </c>
      <c r="L9" s="3">
        <v>-1.2058573624374291E-3</v>
      </c>
      <c r="M9" s="3">
        <v>23.746913580246915</v>
      </c>
      <c r="N9" s="3">
        <v>-2.9024639038452198E-2</v>
      </c>
      <c r="O9" s="3">
        <v>-7.2792328344078051E-3</v>
      </c>
      <c r="P9" s="3">
        <v>-3.1672008927434096E-2</v>
      </c>
      <c r="Q9" s="3">
        <v>5.1084740309148956E-3</v>
      </c>
      <c r="R9" s="3">
        <v>-1.3452856367974468E-2</v>
      </c>
      <c r="S9" s="3">
        <v>-8.9601372123334095E-3</v>
      </c>
      <c r="T9" s="3">
        <v>-8.0938377735245669E-3</v>
      </c>
      <c r="U9" s="3">
        <v>-2.6462778352841086E-2</v>
      </c>
      <c r="V9" s="3">
        <v>9.7799787583034287E-3</v>
      </c>
      <c r="W9" s="3">
        <v>-2.2194317310404728E-2</v>
      </c>
      <c r="X9" s="3">
        <v>-3.3203143882751099E-2</v>
      </c>
      <c r="Y9" s="3">
        <v>-1.818646353910059E-2</v>
      </c>
      <c r="Z9" s="3">
        <v>-1.8026565464895589E-2</v>
      </c>
      <c r="AA9" s="3">
        <v>-1.758037411909533E-2</v>
      </c>
      <c r="AB9" s="3">
        <v>4.3999605226641841E-4</v>
      </c>
      <c r="AC9" s="3">
        <v>-1.6060015781007308E-2</v>
      </c>
      <c r="AD9" s="3">
        <v>1.0914639460085907E-2</v>
      </c>
      <c r="AE9" s="3">
        <v>2.4774765855382273E-2</v>
      </c>
      <c r="AF9" s="3">
        <v>-3.6801305618219059E-2</v>
      </c>
      <c r="AG9" s="3">
        <v>1.4278867206092321E-2</v>
      </c>
      <c r="AH9" s="3">
        <v>4.5588215350880451E-2</v>
      </c>
      <c r="AI9" s="3">
        <v>1.3381813818835594E-2</v>
      </c>
      <c r="AJ9" s="3">
        <v>-1.4118550615135282E-2</v>
      </c>
      <c r="AK9" s="3">
        <v>3.3898305084745797E-2</v>
      </c>
      <c r="AL9" s="3">
        <v>-7.8282460031673946E-4</v>
      </c>
      <c r="AM9" s="3">
        <v>-1.536119643140362E-2</v>
      </c>
      <c r="AN9" s="3">
        <v>-3.8541563493529438E-3</v>
      </c>
    </row>
    <row r="10" spans="1:40" x14ac:dyDescent="0.3">
      <c r="A10" s="101">
        <v>44328</v>
      </c>
      <c r="B10" s="3">
        <v>-3.361352166201291E-2</v>
      </c>
      <c r="C10" s="3">
        <v>-9.1601350349660195E-3</v>
      </c>
      <c r="D10" s="3">
        <v>3.8888954385617881E-2</v>
      </c>
      <c r="E10" s="3">
        <v>-2.9764876774037594E-2</v>
      </c>
      <c r="F10" s="3">
        <v>-1.9064897573048342E-2</v>
      </c>
      <c r="G10" s="3">
        <v>-1.9854152892299519E-2</v>
      </c>
      <c r="H10" s="3">
        <v>-5.2265607091006019E-3</v>
      </c>
      <c r="I10" s="3">
        <v>1.0568088822858387E-2</v>
      </c>
      <c r="J10" s="3">
        <v>2.3499431410823751E-3</v>
      </c>
      <c r="K10" s="3">
        <v>-5.0847457627118758E-2</v>
      </c>
      <c r="L10" s="3">
        <v>-2.4724299129818134E-2</v>
      </c>
      <c r="M10" s="3">
        <v>-0.93747401679554332</v>
      </c>
      <c r="N10" s="3">
        <v>4.6346041978353829E-4</v>
      </c>
      <c r="O10" s="3">
        <v>1.1300860707458093E-2</v>
      </c>
      <c r="P10" s="3">
        <v>-4.7619141528660841E-2</v>
      </c>
      <c r="Q10" s="3">
        <v>-3.1766259469306751E-2</v>
      </c>
      <c r="R10" s="3">
        <v>-2.4137998265398967E-2</v>
      </c>
      <c r="S10" s="3">
        <v>0</v>
      </c>
      <c r="T10" s="3">
        <v>-5.3039111032780681E-3</v>
      </c>
      <c r="U10" s="3">
        <v>2.1446341766567706E-2</v>
      </c>
      <c r="V10" s="3">
        <v>-1.2106467708756024E-2</v>
      </c>
      <c r="W10" s="3">
        <v>-1.8862007481648412E-2</v>
      </c>
      <c r="X10" s="3">
        <v>-1.6161595959595952E-2</v>
      </c>
      <c r="Y10" s="3">
        <v>8.4077703491930635E-3</v>
      </c>
      <c r="Z10" s="3">
        <v>-9.2753623188405715E-2</v>
      </c>
      <c r="AA10" s="3">
        <v>3.6224399960469597E-2</v>
      </c>
      <c r="AB10" s="3">
        <v>-9.7395364024185937E-4</v>
      </c>
      <c r="AC10" s="3">
        <v>-1.6411380666726263E-3</v>
      </c>
      <c r="AD10" s="3">
        <v>-3.0156374991559255E-2</v>
      </c>
      <c r="AE10" s="3">
        <v>2.8388737043646976E-3</v>
      </c>
      <c r="AF10" s="3">
        <v>-2.1698428310879307E-2</v>
      </c>
      <c r="AG10" s="3">
        <v>-3.6602441886553004E-2</v>
      </c>
      <c r="AH10" s="3">
        <v>4.2194070575679275E-2</v>
      </c>
      <c r="AI10" s="3">
        <v>1.6563615766777829E-2</v>
      </c>
      <c r="AJ10" s="3">
        <v>3.7166105496684396E-3</v>
      </c>
      <c r="AK10" s="3">
        <v>0</v>
      </c>
      <c r="AL10" s="3">
        <v>8.6042786245995699E-3</v>
      </c>
      <c r="AM10" s="3">
        <v>1.521383748445318E-2</v>
      </c>
      <c r="AN10" s="3">
        <v>1.7187955520386409E-2</v>
      </c>
    </row>
    <row r="11" spans="1:40" x14ac:dyDescent="0.3">
      <c r="A11" s="101">
        <v>44329</v>
      </c>
      <c r="B11" s="3">
        <v>-9.866213628835703E-2</v>
      </c>
      <c r="C11" s="3">
        <v>-2.8324112649459027E-2</v>
      </c>
      <c r="D11" s="3">
        <v>-2.6738050801272423E-2</v>
      </c>
      <c r="E11" s="3">
        <v>1.054057819129009E-2</v>
      </c>
      <c r="F11" s="3">
        <v>1.7083417468811035E-2</v>
      </c>
      <c r="G11" s="3">
        <v>-3.6929861078474902E-2</v>
      </c>
      <c r="H11" s="3">
        <v>-3.633263177300265E-3</v>
      </c>
      <c r="I11" s="3">
        <v>-9.1504008460390404E-3</v>
      </c>
      <c r="J11" s="3">
        <v>-3.4753940628678759E-2</v>
      </c>
      <c r="K11" s="3">
        <v>2.678571428571435E-2</v>
      </c>
      <c r="L11" s="3">
        <v>-2.9764876774037594E-2</v>
      </c>
      <c r="M11" s="3">
        <v>-5.9840425531914897E-2</v>
      </c>
      <c r="N11" s="3">
        <v>1.1577560483754101E-4</v>
      </c>
      <c r="O11" s="3">
        <v>-5.9714733697366167E-4</v>
      </c>
      <c r="P11" s="3">
        <v>-6.5151467936942736E-2</v>
      </c>
      <c r="Q11" s="3">
        <v>-3.936859390969218E-3</v>
      </c>
      <c r="R11" s="3">
        <v>-5.7821647141379625E-3</v>
      </c>
      <c r="S11" s="3">
        <v>-1.5755893717871158E-2</v>
      </c>
      <c r="T11" s="3">
        <v>-2.8712420721497588E-3</v>
      </c>
      <c r="U11" s="3">
        <v>-2.3193286066501083E-2</v>
      </c>
      <c r="V11" s="3">
        <v>1.7156699591911698E-2</v>
      </c>
      <c r="W11" s="3">
        <v>1.922462245421162E-2</v>
      </c>
      <c r="X11" s="3">
        <v>1.3963038727658337E-2</v>
      </c>
      <c r="Y11" s="3">
        <v>1.1138561460694071E-2</v>
      </c>
      <c r="Z11" s="3">
        <v>3.3013844515441822E-2</v>
      </c>
      <c r="AA11" s="3">
        <v>7.556883052529749E-2</v>
      </c>
      <c r="AB11" s="3">
        <v>1.2297785602574341E-2</v>
      </c>
      <c r="AC11" s="3">
        <v>3.0299027594278213E-2</v>
      </c>
      <c r="AD11" s="3">
        <v>1.228402548315467E-2</v>
      </c>
      <c r="AE11" s="3">
        <v>3.14126101467882E-2</v>
      </c>
      <c r="AF11" s="3">
        <v>3.8090953350649735E-2</v>
      </c>
      <c r="AG11" s="3">
        <v>3.8967362933884832E-3</v>
      </c>
      <c r="AH11" s="3">
        <v>4.3185009313928484E-2</v>
      </c>
      <c r="AI11" s="3">
        <v>2.6355405542475775E-2</v>
      </c>
      <c r="AJ11" s="3">
        <v>9.7381338954788572E-3</v>
      </c>
      <c r="AK11" s="3">
        <v>8.1967213114754172E-3</v>
      </c>
      <c r="AL11" s="3">
        <v>2.029560815574853E-3</v>
      </c>
      <c r="AM11" s="3">
        <v>1.4747580201025923E-2</v>
      </c>
      <c r="AN11" s="3">
        <v>1.173861454243218E-2</v>
      </c>
    </row>
    <row r="12" spans="1:40" x14ac:dyDescent="0.3">
      <c r="A12" s="101">
        <v>44330</v>
      </c>
      <c r="B12" s="3">
        <v>4.3042698741546752E-2</v>
      </c>
      <c r="C12" s="3">
        <v>3.6437882467025683E-3</v>
      </c>
      <c r="D12" s="3">
        <v>1.0989273499873971E-2</v>
      </c>
      <c r="E12" s="3">
        <v>1.3614183024037531E-2</v>
      </c>
      <c r="F12" s="3">
        <v>-6.0861198919929366E-4</v>
      </c>
      <c r="G12" s="3">
        <v>1.5166654851671509E-2</v>
      </c>
      <c r="H12" s="3">
        <v>-1.8845451111299431E-2</v>
      </c>
      <c r="I12" s="3">
        <v>1.5171632693331759E-2</v>
      </c>
      <c r="J12" s="3">
        <v>2.6003819665139635E-2</v>
      </c>
      <c r="K12" s="3">
        <v>-4.3478260869565834E-3</v>
      </c>
      <c r="L12" s="3">
        <v>1.054057819129009E-2</v>
      </c>
      <c r="M12" s="3">
        <v>0.43988684582743987</v>
      </c>
      <c r="N12" s="3">
        <v>-5.7895429977926815E-4</v>
      </c>
      <c r="O12" s="3">
        <v>2.2447980301944517E-2</v>
      </c>
      <c r="P12" s="3">
        <v>5.780659103187448E-2</v>
      </c>
      <c r="Q12" s="3">
        <v>7.9050950365021164E-3</v>
      </c>
      <c r="R12" s="3">
        <v>-1.696293229764128E-2</v>
      </c>
      <c r="S12" s="3">
        <v>0</v>
      </c>
      <c r="T12" s="3">
        <v>-5.7589353483900778E-3</v>
      </c>
      <c r="U12" s="3">
        <v>-9.4975896782007029E-3</v>
      </c>
      <c r="V12" s="3">
        <v>-3.253005967100267E-2</v>
      </c>
      <c r="W12" s="3">
        <v>3.324803447436632E-2</v>
      </c>
      <c r="X12" s="3">
        <v>2.2681226758176857E-2</v>
      </c>
      <c r="Y12" s="3">
        <v>3.9941378340305296E-3</v>
      </c>
      <c r="Z12" s="3">
        <v>1.4432989690721709E-2</v>
      </c>
      <c r="AA12" s="3">
        <v>-1.8416629653806006E-2</v>
      </c>
      <c r="AB12" s="3">
        <v>4.6295092565501374E-3</v>
      </c>
      <c r="AC12" s="3">
        <v>3.492721254060303E-3</v>
      </c>
      <c r="AD12" s="3">
        <v>3.7922992856627771E-3</v>
      </c>
      <c r="AE12" s="3">
        <v>-1.8857875666875874E-2</v>
      </c>
      <c r="AF12" s="3">
        <v>1.4398416485070059E-2</v>
      </c>
      <c r="AG12" s="3">
        <v>2.1348761700690805E-2</v>
      </c>
      <c r="AH12" s="3">
        <v>5.1745273922471384E-3</v>
      </c>
      <c r="AI12" s="3">
        <v>-1.0607898616485345E-2</v>
      </c>
      <c r="AJ12" s="3">
        <v>1.2055459552512443E-2</v>
      </c>
      <c r="AK12" s="3">
        <v>0</v>
      </c>
      <c r="AL12" s="3">
        <v>5.1681913158836516E-3</v>
      </c>
      <c r="AM12" s="3">
        <v>3.2634883489262674E-3</v>
      </c>
      <c r="AN12" s="3">
        <v>5.5439813917376745E-4</v>
      </c>
    </row>
    <row r="13" spans="1:40" x14ac:dyDescent="0.3">
      <c r="A13" s="101">
        <v>44333</v>
      </c>
      <c r="B13" s="3">
        <v>-5.6919344733542604E-3</v>
      </c>
      <c r="C13" s="3">
        <v>-4.6391034347438593E-3</v>
      </c>
      <c r="D13" s="3">
        <v>-8.1522258915661758E-3</v>
      </c>
      <c r="E13" s="3">
        <v>-4.9068396630103671E-2</v>
      </c>
      <c r="F13" s="3">
        <v>5.6022550694983875E-3</v>
      </c>
      <c r="G13" s="3">
        <v>-4.8202933680180318E-2</v>
      </c>
      <c r="H13" s="3">
        <v>7.8338316236932423E-3</v>
      </c>
      <c r="I13" s="3">
        <v>1.2345640386867926E-2</v>
      </c>
      <c r="J13" s="3">
        <v>-4.0523669938192883E-2</v>
      </c>
      <c r="K13" s="3">
        <v>-8.7336244541484417E-3</v>
      </c>
      <c r="L13" s="3">
        <v>1.3614183024037531E-2</v>
      </c>
      <c r="M13" s="3">
        <v>-0.43713163064833005</v>
      </c>
      <c r="N13" s="3">
        <v>3.7075543245548804E-3</v>
      </c>
      <c r="O13" s="3">
        <v>-4.4745063405764618E-2</v>
      </c>
      <c r="P13" s="3">
        <v>-3.5750817160367557E-2</v>
      </c>
      <c r="Q13" s="3">
        <v>2.091502852569041E-2</v>
      </c>
      <c r="R13" s="3">
        <v>-8.5454900375125722E-3</v>
      </c>
      <c r="S13" s="3">
        <v>0</v>
      </c>
      <c r="T13" s="3">
        <v>-3.1030152053835351E-2</v>
      </c>
      <c r="U13" s="3">
        <v>1.1859631493346682E-2</v>
      </c>
      <c r="V13" s="3">
        <v>2.9887898115573491E-2</v>
      </c>
      <c r="W13" s="3">
        <v>1.1571687786095608E-2</v>
      </c>
      <c r="X13" s="3">
        <v>-3.3663386138613867E-2</v>
      </c>
      <c r="Y13" s="3">
        <v>1.8158401610841056E-2</v>
      </c>
      <c r="Z13" s="3">
        <v>1.0162601626016044E-3</v>
      </c>
      <c r="AA13" s="3">
        <v>1.5880370799937426E-3</v>
      </c>
      <c r="AB13" s="3">
        <v>5.5049808826917795E-3</v>
      </c>
      <c r="AC13" s="3">
        <v>-1.1000330822446197E-2</v>
      </c>
      <c r="AD13" s="3">
        <v>2.0022494746157023E-2</v>
      </c>
      <c r="AE13" s="3">
        <v>-6.1902192744991855E-2</v>
      </c>
      <c r="AF13" s="3">
        <v>4.0293010282851274E-2</v>
      </c>
      <c r="AG13" s="3">
        <v>1.6627126680623543E-2</v>
      </c>
      <c r="AH13" s="3">
        <v>-9.0090348584281367E-3</v>
      </c>
      <c r="AI13" s="3">
        <v>4.998510342313793E-2</v>
      </c>
      <c r="AJ13" s="3">
        <v>3.3452461197861223E-2</v>
      </c>
      <c r="AK13" s="3">
        <v>1.6260162601626032E-2</v>
      </c>
      <c r="AL13" s="3">
        <v>-1.9732772192336909E-3</v>
      </c>
      <c r="AM13" s="3">
        <v>-1.2496775233421948E-2</v>
      </c>
      <c r="AN13" s="3">
        <v>2.4227292594896539E-3</v>
      </c>
    </row>
    <row r="14" spans="1:40" x14ac:dyDescent="0.3">
      <c r="A14" s="101">
        <v>44334</v>
      </c>
      <c r="B14" s="3">
        <v>4.2933603140402421E-3</v>
      </c>
      <c r="C14" s="3">
        <v>1.2158404191477932E-3</v>
      </c>
      <c r="D14" s="3">
        <v>-4.1096154593350726E-2</v>
      </c>
      <c r="E14" s="3">
        <v>-1.8339371391749536E-2</v>
      </c>
      <c r="F14" s="3">
        <v>-2.4100709177504901E-2</v>
      </c>
      <c r="G14" s="3">
        <v>-5.9751222564063768E-2</v>
      </c>
      <c r="H14" s="3">
        <v>-2.0402992230958462E-2</v>
      </c>
      <c r="I14" s="3">
        <v>-2.2464781179771E-2</v>
      </c>
      <c r="J14" s="3">
        <v>-7.2713970416306575E-2</v>
      </c>
      <c r="K14" s="3">
        <v>-3.9647577092510954E-2</v>
      </c>
      <c r="L14" s="3">
        <v>-4.9068396630103671E-2</v>
      </c>
      <c r="M14" s="3">
        <v>-0.31413612565445026</v>
      </c>
      <c r="N14" s="3">
        <v>-4.2708947357061773E-3</v>
      </c>
      <c r="O14" s="3">
        <v>-9.0710324787345309E-2</v>
      </c>
      <c r="P14" s="3">
        <v>-6.6737185738198548E-2</v>
      </c>
      <c r="Q14" s="3">
        <v>-2.5608190316390399E-2</v>
      </c>
      <c r="R14" s="3">
        <v>-2.2211175134668401E-2</v>
      </c>
      <c r="S14" s="3">
        <v>0</v>
      </c>
      <c r="T14" s="3">
        <v>4.6541339732420431E-2</v>
      </c>
      <c r="U14" s="3">
        <v>-4.4887884490989348E-3</v>
      </c>
      <c r="V14" s="3">
        <v>-4.8366695558242356E-3</v>
      </c>
      <c r="W14" s="3">
        <v>-7.4629550534537651E-3</v>
      </c>
      <c r="X14" s="3">
        <v>2.2541045543873903E-2</v>
      </c>
      <c r="Y14" s="3">
        <v>1.2478012902357455E-2</v>
      </c>
      <c r="Z14" s="3">
        <v>4.0609137055838502E-3</v>
      </c>
      <c r="AA14" s="3">
        <v>-2.1042845237933074E-2</v>
      </c>
      <c r="AB14" s="3">
        <v>-8.6120394569269929E-3</v>
      </c>
      <c r="AC14" s="3">
        <v>-1.6814437490190421E-2</v>
      </c>
      <c r="AD14" s="3">
        <v>-2.5925774467995795E-3</v>
      </c>
      <c r="AE14" s="3">
        <v>-9.9076472672916197E-3</v>
      </c>
      <c r="AF14" s="3">
        <v>6.1619656515398691E-2</v>
      </c>
      <c r="AG14" s="3">
        <v>-2.0093504672897066E-2</v>
      </c>
      <c r="AH14" s="3">
        <v>5.454548086700016E-2</v>
      </c>
      <c r="AI14" s="3">
        <v>1.7676043245075851E-2</v>
      </c>
      <c r="AJ14" s="3">
        <v>-2.7182813050784311E-2</v>
      </c>
      <c r="AK14" s="3">
        <v>-8.0000000000000071E-3</v>
      </c>
      <c r="AL14" s="3">
        <v>-1.6847895403723195E-2</v>
      </c>
      <c r="AM14" s="3">
        <v>-1.8105585662237651E-2</v>
      </c>
      <c r="AN14" s="3">
        <v>-7.1820449835707954E-3</v>
      </c>
    </row>
    <row r="15" spans="1:40" x14ac:dyDescent="0.3">
      <c r="A15" s="101">
        <v>44335</v>
      </c>
      <c r="B15" s="3">
        <v>5.0587779152375348E-2</v>
      </c>
      <c r="C15" s="3">
        <v>2.0036524401811397E-2</v>
      </c>
      <c r="D15" s="3">
        <v>3.7143007559091792E-2</v>
      </c>
      <c r="E15" s="3">
        <v>1.1719887077500064E-2</v>
      </c>
      <c r="F15" s="3">
        <v>1.8863125388187837E-2</v>
      </c>
      <c r="G15" s="3">
        <v>3.5987086164061578E-2</v>
      </c>
      <c r="H15" s="3">
        <v>-3.0648993024190534E-2</v>
      </c>
      <c r="I15" s="3">
        <v>-1.1818750282519984E-2</v>
      </c>
      <c r="J15" s="3">
        <v>8.1546334562664302E-2</v>
      </c>
      <c r="K15" s="3">
        <v>-9.1743119266054721E-3</v>
      </c>
      <c r="L15" s="3">
        <v>-1.8339371391749536E-2</v>
      </c>
      <c r="M15" s="3">
        <v>4.3765903307888037</v>
      </c>
      <c r="N15" s="3">
        <v>1.5069686234957648E-3</v>
      </c>
      <c r="O15" s="3">
        <v>9.6588063856094489E-2</v>
      </c>
      <c r="P15" s="3">
        <v>8.2292787611079138E-2</v>
      </c>
      <c r="Q15" s="3">
        <v>-2.3653127396272761E-2</v>
      </c>
      <c r="R15" s="3">
        <v>0</v>
      </c>
      <c r="S15" s="3">
        <v>-4.912398966266926E-2</v>
      </c>
      <c r="T15" s="3">
        <v>-1.2647855576829434E-2</v>
      </c>
      <c r="U15" s="3">
        <v>-2.580161271864851E-2</v>
      </c>
      <c r="V15" s="3">
        <v>-6.0754029568946006E-3</v>
      </c>
      <c r="W15" s="3">
        <v>6.1633057014497915E-3</v>
      </c>
      <c r="X15" s="3">
        <v>-1.803611150155867E-2</v>
      </c>
      <c r="Y15" s="3">
        <v>-8.5273930405228727E-3</v>
      </c>
      <c r="Z15" s="3">
        <v>-3.9433771486349904E-2</v>
      </c>
      <c r="AA15" s="3">
        <v>2.4618808269946266E-2</v>
      </c>
      <c r="AB15" s="3">
        <v>2.8480819617422496E-2</v>
      </c>
      <c r="AC15" s="3">
        <v>1.9797654065948866E-2</v>
      </c>
      <c r="AD15" s="3">
        <v>3.8989984471771572E-2</v>
      </c>
      <c r="AE15" s="3">
        <v>1.4087214611872107E-2</v>
      </c>
      <c r="AF15" s="3">
        <v>2.902155435383522E-2</v>
      </c>
      <c r="AG15" s="3">
        <v>2.5274250132296075E-2</v>
      </c>
      <c r="AH15" s="3">
        <v>-1.1699540971543921E-2</v>
      </c>
      <c r="AI15" s="3">
        <v>3.2316175494566363E-2</v>
      </c>
      <c r="AJ15" s="3">
        <v>1.4119281575170249E-2</v>
      </c>
      <c r="AK15" s="3">
        <v>-1.612903225806453E-2</v>
      </c>
      <c r="AL15" s="3">
        <v>1.8559970845643148E-2</v>
      </c>
      <c r="AM15" s="3">
        <v>1.2719376258904453E-2</v>
      </c>
      <c r="AN15" s="3">
        <v>9.1034951564942859E-3</v>
      </c>
    </row>
    <row r="16" spans="1:40" x14ac:dyDescent="0.3">
      <c r="A16" s="101">
        <v>44336</v>
      </c>
      <c r="B16" s="3">
        <v>6.6802299274115268E-2</v>
      </c>
      <c r="C16" s="3">
        <v>0</v>
      </c>
      <c r="D16" s="3">
        <v>-1.9283777980185254E-2</v>
      </c>
      <c r="E16" s="3">
        <v>4.1116861565438458E-2</v>
      </c>
      <c r="F16" s="3">
        <v>-9.5004922349403824E-3</v>
      </c>
      <c r="G16" s="3">
        <v>-0.10580723024942584</v>
      </c>
      <c r="H16" s="3">
        <v>2.3231182906053045E-2</v>
      </c>
      <c r="I16" s="3">
        <v>-6.6444264555039505E-4</v>
      </c>
      <c r="J16" s="3">
        <v>-9.7829216555742393E-2</v>
      </c>
      <c r="K16" s="3">
        <v>0</v>
      </c>
      <c r="L16" s="3">
        <v>1.1719887077500064E-2</v>
      </c>
      <c r="M16" s="3">
        <v>-0.60719356365357313</v>
      </c>
      <c r="N16" s="3">
        <v>2.1646015134013551E-2</v>
      </c>
      <c r="O16" s="3">
        <v>-6.4329443586797777E-2</v>
      </c>
      <c r="P16" s="3">
        <v>6.397488201363398E-2</v>
      </c>
      <c r="Q16" s="3">
        <v>-6.72945253537549E-3</v>
      </c>
      <c r="R16" s="3">
        <v>-8.3064895528412522E-3</v>
      </c>
      <c r="S16" s="3">
        <v>0</v>
      </c>
      <c r="T16" s="3">
        <v>-9.5042277676740221E-3</v>
      </c>
      <c r="U16" s="3">
        <v>-3.805605260025198E-2</v>
      </c>
      <c r="V16" s="3">
        <v>-6.1124343461893271E-3</v>
      </c>
      <c r="W16" s="3">
        <v>1.2404174586566391E-2</v>
      </c>
      <c r="X16" s="3">
        <v>1.0408122448979654E-2</v>
      </c>
      <c r="Y16" s="3">
        <v>5.8384584146474695E-3</v>
      </c>
      <c r="Z16" s="3">
        <v>3.2631578947368477E-2</v>
      </c>
      <c r="AA16" s="3">
        <v>7.2556061116388793E-2</v>
      </c>
      <c r="AB16" s="3">
        <v>5.9124718831929934E-3</v>
      </c>
      <c r="AC16" s="3">
        <v>2.7299475195224779E-3</v>
      </c>
      <c r="AD16" s="3">
        <v>3.9313838563123015E-3</v>
      </c>
      <c r="AE16" s="3">
        <v>8.2103853672270105E-2</v>
      </c>
      <c r="AF16" s="3">
        <v>0.14867057368355133</v>
      </c>
      <c r="AG16" s="3">
        <v>1.7209348837209232E-2</v>
      </c>
      <c r="AH16" s="3">
        <v>-2.7414283562150799E-2</v>
      </c>
      <c r="AI16" s="3">
        <v>-1.5886890779854494E-2</v>
      </c>
      <c r="AJ16" s="3">
        <v>1.5383083670407832E-2</v>
      </c>
      <c r="AK16" s="3">
        <v>4.9180327868852507E-2</v>
      </c>
      <c r="AL16" s="3">
        <v>5.7146669341510666E-3</v>
      </c>
      <c r="AM16" s="3">
        <v>-2.6219256059789017E-4</v>
      </c>
      <c r="AN16" s="3">
        <v>1.6536455633726004E-2</v>
      </c>
    </row>
    <row r="17" spans="1:40" x14ac:dyDescent="0.3">
      <c r="A17" s="101">
        <v>44337</v>
      </c>
      <c r="B17" s="3">
        <v>-1.3668126702267159E-2</v>
      </c>
      <c r="C17" s="3">
        <v>3.7697853770606716E-3</v>
      </c>
      <c r="D17" s="3">
        <v>2.0522782996264078E-2</v>
      </c>
      <c r="E17" s="3">
        <v>1.7681146882135537E-2</v>
      </c>
      <c r="F17" s="3">
        <v>2.348734297132421E-2</v>
      </c>
      <c r="G17" s="3">
        <v>1.0455661428558784E-2</v>
      </c>
      <c r="H17" s="3">
        <v>-1.3833278503053048E-2</v>
      </c>
      <c r="I17" s="3">
        <v>-7.9786811938112427E-3</v>
      </c>
      <c r="J17" s="3">
        <v>0.12608275816141604</v>
      </c>
      <c r="K17" s="3">
        <v>-1.3888888888888921E-2</v>
      </c>
      <c r="L17" s="3">
        <v>4.1116861565438458E-2</v>
      </c>
      <c r="M17" s="3">
        <v>1.3192771084337349</v>
      </c>
      <c r="N17" s="3">
        <v>1.0650338342521928E-2</v>
      </c>
      <c r="O17" s="3">
        <v>0.11708495662598083</v>
      </c>
      <c r="P17" s="3">
        <v>-7.4913796209275726E-2</v>
      </c>
      <c r="Q17" s="3">
        <v>-9.4851154895962946E-3</v>
      </c>
      <c r="R17" s="3">
        <v>-6.4957328213848545E-2</v>
      </c>
      <c r="S17" s="3">
        <v>2.2398646993326454E-2</v>
      </c>
      <c r="T17" s="3">
        <v>-1.0429616266398685E-2</v>
      </c>
      <c r="U17" s="3">
        <v>4.49078372344257E-2</v>
      </c>
      <c r="V17" s="3">
        <v>-6.1501313692010964E-3</v>
      </c>
      <c r="W17" s="3">
        <v>1.4975037422386558E-2</v>
      </c>
      <c r="X17" s="3">
        <v>9.6950922922677922E-3</v>
      </c>
      <c r="Y17" s="3">
        <v>5.8669516548061325E-3</v>
      </c>
      <c r="Z17" s="3">
        <v>-3.058103975535284E-3</v>
      </c>
      <c r="AA17" s="3">
        <v>-9.7376359546746082E-3</v>
      </c>
      <c r="AB17" s="3">
        <v>3.1578015087083494E-2</v>
      </c>
      <c r="AC17" s="3">
        <v>3.1417477046261293E-2</v>
      </c>
      <c r="AD17" s="3">
        <v>-1.0323990766181759E-2</v>
      </c>
      <c r="AE17" s="3">
        <v>2.656069127651272E-3</v>
      </c>
      <c r="AF17" s="3">
        <v>-8.7337899073355901E-2</v>
      </c>
      <c r="AG17" s="3">
        <v>-1.3717466222337996E-2</v>
      </c>
      <c r="AH17" s="3">
        <v>-1.729652430968151E-2</v>
      </c>
      <c r="AI17" s="3">
        <v>-2.6496752589746021E-2</v>
      </c>
      <c r="AJ17" s="3">
        <v>-1.5917175989124236E-2</v>
      </c>
      <c r="AK17" s="3">
        <v>-3.1250000000000028E-2</v>
      </c>
      <c r="AL17" s="3">
        <v>6.6016550860743348E-3</v>
      </c>
      <c r="AM17" s="3">
        <v>3.4708809142263465E-2</v>
      </c>
      <c r="AN17" s="3">
        <v>3.0427136507995882E-2</v>
      </c>
    </row>
    <row r="18" spans="1:40" x14ac:dyDescent="0.3">
      <c r="A18" s="101">
        <v>44340</v>
      </c>
      <c r="B18" s="3">
        <v>1.8691651833757705E-2</v>
      </c>
      <c r="C18" s="3">
        <v>-7.9069942325714988E-4</v>
      </c>
      <c r="D18" s="3">
        <v>-6.0606017434861374E-2</v>
      </c>
      <c r="E18" s="3">
        <v>-1.6251913122925174E-4</v>
      </c>
      <c r="F18" s="3">
        <v>-1.4297703934410707E-2</v>
      </c>
      <c r="G18" s="3">
        <v>1.9937704552762593E-2</v>
      </c>
      <c r="H18" s="3">
        <v>-2.2713033855967821E-2</v>
      </c>
      <c r="I18" s="3">
        <v>0</v>
      </c>
      <c r="J18" s="3">
        <v>-3.5755003678043594E-2</v>
      </c>
      <c r="K18" s="3">
        <v>-2.8169014084507109E-2</v>
      </c>
      <c r="L18" s="3">
        <v>1.7681146882135537E-2</v>
      </c>
      <c r="M18" s="3">
        <v>7.4805194805194805E-2</v>
      </c>
      <c r="N18" s="3">
        <v>6.3901498978410579E-3</v>
      </c>
      <c r="O18" s="3">
        <v>2.7838435386207103E-2</v>
      </c>
      <c r="P18" s="3">
        <v>-2.8769312733084664E-2</v>
      </c>
      <c r="Q18" s="3">
        <v>-1.9151800731349807E-2</v>
      </c>
      <c r="R18" s="3">
        <v>3.6563640246864387E-3</v>
      </c>
      <c r="S18" s="3">
        <v>1.4134282486021121E-2</v>
      </c>
      <c r="T18" s="3">
        <v>1.2647603124146782E-2</v>
      </c>
      <c r="U18" s="3">
        <v>1.5860846505790307E-2</v>
      </c>
      <c r="V18" s="3">
        <v>4.8267411904286642E-2</v>
      </c>
      <c r="W18" s="3">
        <v>6.557425189924769E-3</v>
      </c>
      <c r="X18" s="3">
        <v>-6.0012600119519243E-3</v>
      </c>
      <c r="Y18" s="3">
        <v>1.0052090840107062E-2</v>
      </c>
      <c r="Z18" s="3">
        <v>1.5337423312883474E-2</v>
      </c>
      <c r="AA18" s="3">
        <v>8.9702062469281821E-2</v>
      </c>
      <c r="AB18" s="3">
        <v>2.5727561477610052E-2</v>
      </c>
      <c r="AC18" s="3">
        <v>-8.1283865431632206E-3</v>
      </c>
      <c r="AD18" s="3">
        <v>4.67636940214196E-3</v>
      </c>
      <c r="AE18" s="3">
        <v>4.8565386313466118E-3</v>
      </c>
      <c r="AF18" s="3">
        <v>-7.7632468744894267E-2</v>
      </c>
      <c r="AG18" s="3">
        <v>3.2452016689846663E-3</v>
      </c>
      <c r="AH18" s="3">
        <v>5.5410712622386671E-2</v>
      </c>
      <c r="AI18" s="3">
        <v>-1.3364119359164907E-2</v>
      </c>
      <c r="AJ18" s="3">
        <v>-4.9692209208601571E-3</v>
      </c>
      <c r="AK18" s="3">
        <v>2.4193548387096794E-2</v>
      </c>
      <c r="AL18" s="3">
        <v>6.6545435481615307E-3</v>
      </c>
      <c r="AM18" s="3">
        <v>9.9072229441002921E-4</v>
      </c>
      <c r="AN18" s="3">
        <v>1.791329804690215E-2</v>
      </c>
    </row>
    <row r="19" spans="1:40" x14ac:dyDescent="0.3">
      <c r="A19" s="101">
        <v>44341</v>
      </c>
      <c r="B19" s="3">
        <v>-3.827906458837347E-2</v>
      </c>
      <c r="C19" s="3">
        <v>3.9569255364399188E-4</v>
      </c>
      <c r="D19" s="3">
        <v>5.8651230083744475E-2</v>
      </c>
      <c r="E19" s="3">
        <v>-7.5407220294010535E-2</v>
      </c>
      <c r="F19" s="3">
        <v>-5.9726642966166279E-3</v>
      </c>
      <c r="G19" s="3">
        <v>6.507759097785544E-2</v>
      </c>
      <c r="H19" s="3">
        <v>4.8163581339007097E-3</v>
      </c>
      <c r="I19" s="3">
        <v>4.0213919429614641E-3</v>
      </c>
      <c r="J19" s="3">
        <v>-1.5364198672519416E-2</v>
      </c>
      <c r="K19" s="3">
        <v>-4.8309178743960327E-3</v>
      </c>
      <c r="L19" s="3">
        <v>-1.6251913122925174E-4</v>
      </c>
      <c r="M19" s="3">
        <v>0.17496375060415659</v>
      </c>
      <c r="N19" s="3">
        <v>1.448142916884804E-2</v>
      </c>
      <c r="O19" s="3">
        <v>-2.1222597431737433E-2</v>
      </c>
      <c r="P19" s="3">
        <v>-9.2704278661546916E-2</v>
      </c>
      <c r="Q19" s="3">
        <v>-2.9288676047110798E-2</v>
      </c>
      <c r="R19" s="3">
        <v>1.6211256812354725E-2</v>
      </c>
      <c r="S19" s="3">
        <v>1.5679471282893945E-2</v>
      </c>
      <c r="T19" s="3">
        <v>5.8284641169973088E-3</v>
      </c>
      <c r="U19" s="3">
        <v>7.555093827815259E-4</v>
      </c>
      <c r="V19" s="3">
        <v>1.0625716872519161E-2</v>
      </c>
      <c r="W19" s="3">
        <v>9.771834969427462E-3</v>
      </c>
      <c r="X19" s="3">
        <v>3.421251829769541E-3</v>
      </c>
      <c r="Y19" s="3">
        <v>-3.3173240159560832E-3</v>
      </c>
      <c r="Z19" s="3">
        <v>-1.6112789526686822E-2</v>
      </c>
      <c r="AA19" s="3">
        <v>-5.093410316891351E-2</v>
      </c>
      <c r="AB19" s="3">
        <v>-4.8010415228018431E-2</v>
      </c>
      <c r="AC19" s="3">
        <v>-5.1957940302588455E-2</v>
      </c>
      <c r="AD19" s="3">
        <v>-7.6620192282781788E-2</v>
      </c>
      <c r="AE19" s="3">
        <v>-6.0193372754129081E-2</v>
      </c>
      <c r="AF19" s="3">
        <v>-1.7083521905114883E-2</v>
      </c>
      <c r="AG19" s="3">
        <v>-5.6377035876942407E-2</v>
      </c>
      <c r="AH19" s="3">
        <v>-0.1227919095897861</v>
      </c>
      <c r="AI19" s="3">
        <v>-7.6306755796629253E-2</v>
      </c>
      <c r="AJ19" s="3">
        <v>-6.8057221877241267E-2</v>
      </c>
      <c r="AK19" s="3">
        <v>-2.3622047244094509E-2</v>
      </c>
      <c r="AL19" s="3">
        <v>-4.2303126146476286E-2</v>
      </c>
      <c r="AM19" s="3">
        <v>-2.0530318482246547E-2</v>
      </c>
      <c r="AN19" s="3">
        <v>-3.3802300837444378E-2</v>
      </c>
    </row>
    <row r="20" spans="1:40" x14ac:dyDescent="0.3">
      <c r="A20" s="101">
        <v>44342</v>
      </c>
      <c r="B20" s="3">
        <v>-2.7960556195117135E-2</v>
      </c>
      <c r="C20" s="3">
        <v>1.2853442383759701E-2</v>
      </c>
      <c r="D20" s="3">
        <v>-2.2160565613433009E-2</v>
      </c>
      <c r="E20" s="3">
        <v>9.3032738344116364E-2</v>
      </c>
      <c r="F20" s="3">
        <v>-6.744324523189054E-3</v>
      </c>
      <c r="G20" s="3">
        <v>-3.6939547861087857E-2</v>
      </c>
      <c r="H20" s="3">
        <v>1.0199685143756583E-2</v>
      </c>
      <c r="I20" s="3">
        <v>-4.005285121644022E-3</v>
      </c>
      <c r="J20" s="3">
        <v>-6.8567173720137056E-2</v>
      </c>
      <c r="K20" s="3">
        <v>0</v>
      </c>
      <c r="L20" s="3">
        <v>-7.5407220294010535E-2</v>
      </c>
      <c r="M20" s="3">
        <v>-0.17564788153023447</v>
      </c>
      <c r="N20" s="3">
        <v>-2.4157301401330874E-2</v>
      </c>
      <c r="O20" s="3">
        <v>-4.587683238689199E-2</v>
      </c>
      <c r="P20" s="3">
        <v>-0.15477635098087356</v>
      </c>
      <c r="Q20" s="3">
        <v>-1.7241376014077811E-2</v>
      </c>
      <c r="R20" s="3">
        <v>3.7999638657283764E-2</v>
      </c>
      <c r="S20" s="3">
        <v>-3.4305754901522668E-3</v>
      </c>
      <c r="T20" s="3">
        <v>-9.5198781219352335E-3</v>
      </c>
      <c r="U20" s="3">
        <v>-9.058929050056003E-3</v>
      </c>
      <c r="V20" s="3">
        <v>1.1682776192760201E-3</v>
      </c>
      <c r="W20" s="3">
        <v>-8.7962788596925717E-4</v>
      </c>
      <c r="X20" s="3">
        <v>-2.2262354146362674E-2</v>
      </c>
      <c r="Y20" s="3">
        <v>1.0971393892646907E-2</v>
      </c>
      <c r="Z20" s="3">
        <v>0</v>
      </c>
      <c r="AA20" s="3">
        <v>-3.8608638894999429E-2</v>
      </c>
      <c r="AB20" s="3">
        <v>8.6336279879874224E-3</v>
      </c>
      <c r="AC20" s="3">
        <v>1.8491329721691929E-2</v>
      </c>
      <c r="AD20" s="3">
        <v>2.404041610693787E-2</v>
      </c>
      <c r="AE20" s="3">
        <v>1.0472211607448639E-2</v>
      </c>
      <c r="AF20" s="3">
        <v>-1.9271824086207617E-2</v>
      </c>
      <c r="AG20" s="3">
        <v>1.958863858961795E-2</v>
      </c>
      <c r="AH20" s="3">
        <v>1.2674021623614216E-3</v>
      </c>
      <c r="AI20" s="3">
        <v>7.6776477751417617E-3</v>
      </c>
      <c r="AJ20" s="3">
        <v>1.3239621041225611E-2</v>
      </c>
      <c r="AK20" s="3">
        <v>-1.612903225806453E-2</v>
      </c>
      <c r="AL20" s="3">
        <v>6.6531227682196242E-3</v>
      </c>
      <c r="AM20" s="3">
        <v>-1.7600317311778989E-2</v>
      </c>
      <c r="AN20" s="3">
        <v>-5.0587498227005912E-3</v>
      </c>
    </row>
    <row r="21" spans="1:40" x14ac:dyDescent="0.3">
      <c r="A21" s="101">
        <v>44343</v>
      </c>
      <c r="B21" s="3">
        <v>8.257190897772862E-2</v>
      </c>
      <c r="C21" s="3">
        <v>-2.2842653517210345E-2</v>
      </c>
      <c r="D21" s="3">
        <v>2.8327383449869817E-3</v>
      </c>
      <c r="E21" s="3">
        <v>-2.5710112892052355E-3</v>
      </c>
      <c r="F21" s="3">
        <v>9.7530737459445484E-3</v>
      </c>
      <c r="G21" s="3">
        <v>-4.9694443151379442E-2</v>
      </c>
      <c r="H21" s="3">
        <v>-1.7958350079149612E-2</v>
      </c>
      <c r="I21" s="3">
        <v>5.3619245882237949E-3</v>
      </c>
      <c r="J21" s="3">
        <v>-2.5934092352060921E-2</v>
      </c>
      <c r="K21" s="3">
        <v>-9.7087378640778078E-3</v>
      </c>
      <c r="L21" s="3">
        <v>9.3032738344116364E-2</v>
      </c>
      <c r="M21" s="3">
        <v>3.7909181636726546</v>
      </c>
      <c r="N21" s="3">
        <v>1.6428623305731221E-2</v>
      </c>
      <c r="O21" s="3">
        <v>2.7198901617408182E-3</v>
      </c>
      <c r="P21" s="3">
        <v>9.8712446351931257E-2</v>
      </c>
      <c r="Q21" s="3">
        <v>4.6783523478226702E-2</v>
      </c>
      <c r="R21" s="3">
        <v>2.1930554692795048E-2</v>
      </c>
      <c r="S21" s="3">
        <v>2.5817716095270705E-2</v>
      </c>
      <c r="T21" s="3">
        <v>-1.2954448242928924E-2</v>
      </c>
      <c r="U21" s="3">
        <v>6.0944342017322257E-3</v>
      </c>
      <c r="V21" s="3">
        <v>7.001086134114369E-3</v>
      </c>
      <c r="W21" s="3">
        <v>3.7276143170257604E-2</v>
      </c>
      <c r="X21" s="3">
        <v>-1.5384615384615385E-2</v>
      </c>
      <c r="Y21" s="3">
        <v>9.328124391461445E-3</v>
      </c>
      <c r="Z21" s="3">
        <v>2.2517911975435071E-2</v>
      </c>
      <c r="AA21" s="3">
        <v>5.9468773103207896E-2</v>
      </c>
      <c r="AB21" s="3">
        <v>1.2366968834197118E-2</v>
      </c>
      <c r="AC21" s="3">
        <v>1.7149347999393195E-2</v>
      </c>
      <c r="AD21" s="3">
        <v>-3.029154962003408E-3</v>
      </c>
      <c r="AE21" s="3">
        <v>-5.36691033589334E-3</v>
      </c>
      <c r="AF21" s="3">
        <v>8.6899554145813782E-2</v>
      </c>
      <c r="AG21" s="3">
        <v>4.8030739673381412E-4</v>
      </c>
      <c r="AH21" s="3">
        <v>0.11097046690140205</v>
      </c>
      <c r="AI21" s="3">
        <v>1.3257119275886171E-2</v>
      </c>
      <c r="AJ21" s="3">
        <v>1.4621696776942616E-2</v>
      </c>
      <c r="AK21" s="3">
        <v>8.1967213114754175E-2</v>
      </c>
      <c r="AL21" s="3">
        <v>4.719894339853245E-3</v>
      </c>
      <c r="AM21" s="3">
        <v>1.7772126379781233E-2</v>
      </c>
      <c r="AN21" s="3">
        <v>1.0868315462105047E-2</v>
      </c>
    </row>
    <row r="22" spans="1:40" x14ac:dyDescent="0.3">
      <c r="A22" s="101">
        <v>44344</v>
      </c>
      <c r="B22" s="3">
        <v>7.5336167714200195E-2</v>
      </c>
      <c r="C22" s="3">
        <v>2.3576460721054585E-2</v>
      </c>
      <c r="D22" s="3">
        <v>4.8022567506763765E-2</v>
      </c>
      <c r="E22" s="3">
        <v>-4.7796801616809582E-3</v>
      </c>
      <c r="F22" s="3">
        <v>5.6413704880190147E-3</v>
      </c>
      <c r="G22" s="3">
        <v>9.7393822981891906E-2</v>
      </c>
      <c r="H22" s="3">
        <v>1.8938207572777425E-2</v>
      </c>
      <c r="I22" s="3">
        <v>1.3333148473234475E-3</v>
      </c>
      <c r="J22" s="3">
        <v>1.1741300858506982E-2</v>
      </c>
      <c r="K22" s="3">
        <v>0</v>
      </c>
      <c r="L22" s="3">
        <v>-2.5710112892052355E-3</v>
      </c>
      <c r="M22" s="3">
        <v>-0.70586397250286426</v>
      </c>
      <c r="N22" s="3">
        <v>1.7712158458740843E-3</v>
      </c>
      <c r="O22" s="3">
        <v>6.56284052374568E-3</v>
      </c>
      <c r="P22" s="3">
        <v>7.6822981770833382E-2</v>
      </c>
      <c r="Q22" s="3">
        <v>4.2493810983179267E-3</v>
      </c>
      <c r="R22" s="3">
        <v>3.0753662600816835E-2</v>
      </c>
      <c r="S22" s="3">
        <v>4.1439474326245652E-2</v>
      </c>
      <c r="T22" s="3">
        <v>5.927168118491327E-3</v>
      </c>
      <c r="U22" s="3">
        <v>7.0671773876702232E-3</v>
      </c>
      <c r="V22" s="3">
        <v>8.1112131714188244E-3</v>
      </c>
      <c r="W22" s="3">
        <v>2.3344645915238174E-2</v>
      </c>
      <c r="X22" s="3">
        <v>3.2708333333333339E-2</v>
      </c>
      <c r="Y22" s="3">
        <v>2.5973602670366371E-3</v>
      </c>
      <c r="Z22" s="3">
        <v>1.4014014014014071E-2</v>
      </c>
      <c r="AA22" s="3">
        <v>-8.8504998138206042E-3</v>
      </c>
      <c r="AB22" s="3">
        <v>2.6502263679912319E-2</v>
      </c>
      <c r="AC22" s="3">
        <v>1.3548361290322547E-2</v>
      </c>
      <c r="AD22" s="3">
        <v>3.6840113548113888E-2</v>
      </c>
      <c r="AE22" s="3">
        <v>0.12391850635256309</v>
      </c>
      <c r="AF22" s="3">
        <v>-2.8123647274387695E-2</v>
      </c>
      <c r="AG22" s="3">
        <v>2.0643302928468714E-2</v>
      </c>
      <c r="AH22" s="3">
        <v>2.5319604536973801E-2</v>
      </c>
      <c r="AI22" s="3">
        <v>1.3159003962621388E-2</v>
      </c>
      <c r="AJ22" s="3">
        <v>1.2265002219324897E-2</v>
      </c>
      <c r="AK22" s="3">
        <v>3.0303030303030328E-2</v>
      </c>
      <c r="AL22" s="3">
        <v>1.6107363453885946E-2</v>
      </c>
      <c r="AM22" s="3">
        <v>2.4982385428907128E-2</v>
      </c>
      <c r="AN22" s="3">
        <v>1.6554728534725026E-2</v>
      </c>
    </row>
    <row r="23" spans="1:40" x14ac:dyDescent="0.3">
      <c r="A23" s="101">
        <v>44347</v>
      </c>
      <c r="B23" s="3">
        <v>4.0406909007065742E-2</v>
      </c>
      <c r="C23" s="3">
        <v>-5.2704314176181917E-3</v>
      </c>
      <c r="D23" s="3">
        <v>2.4258826986355876E-2</v>
      </c>
      <c r="E23" s="3">
        <v>-5.8061757051374709E-2</v>
      </c>
      <c r="F23" s="3">
        <v>-2.0487765723040455E-2</v>
      </c>
      <c r="G23" s="3">
        <v>-4.210038488549022E-2</v>
      </c>
      <c r="H23" s="3">
        <v>5.4139788031051031E-3</v>
      </c>
      <c r="I23" s="3">
        <v>-5.9919958939310689E-3</v>
      </c>
      <c r="J23" s="3">
        <v>-2.108528473685807E-2</v>
      </c>
      <c r="K23" s="3">
        <v>-1.4705882352941037E-2</v>
      </c>
      <c r="L23" s="3">
        <v>-4.7796801616809582E-3</v>
      </c>
      <c r="M23" s="3">
        <v>0.61933427762039661</v>
      </c>
      <c r="N23" s="3">
        <v>-1.6797408306794399E-2</v>
      </c>
      <c r="O23" s="3">
        <v>-4.89437356674646E-2</v>
      </c>
      <c r="P23" s="3">
        <v>8.1620188535659666E-2</v>
      </c>
      <c r="Q23" s="3">
        <v>-1.4105264826653784E-3</v>
      </c>
      <c r="R23" s="3">
        <v>-1.6557326015488299E-2</v>
      </c>
      <c r="S23" s="3">
        <v>-4.3176893958491117E-3</v>
      </c>
      <c r="T23" s="3">
        <v>1.9781116508839926E-2</v>
      </c>
      <c r="U23" s="3">
        <v>2.5563829197567816E-2</v>
      </c>
      <c r="V23" s="3">
        <v>2.298857140155932E-2</v>
      </c>
      <c r="W23" s="3">
        <v>1.3963684101161267E-2</v>
      </c>
      <c r="X23" s="3">
        <v>6.2538027032479271E-3</v>
      </c>
      <c r="Y23" s="3">
        <v>3.831787054627965E-2</v>
      </c>
      <c r="Z23" s="3">
        <v>-9.8716683119448589E-3</v>
      </c>
      <c r="AA23" s="3">
        <v>9.8357192038149629E-3</v>
      </c>
      <c r="AB23" s="3">
        <v>-1.3917094437372855E-3</v>
      </c>
      <c r="AC23" s="3">
        <v>-5.0920858499995867E-4</v>
      </c>
      <c r="AD23" s="3">
        <v>-2.9304808013082937E-3</v>
      </c>
      <c r="AE23" s="3">
        <v>-2.888832098151347E-2</v>
      </c>
      <c r="AF23" s="3">
        <v>-3.6792214788068218E-2</v>
      </c>
      <c r="AG23" s="3">
        <v>-7.9962370649107103E-3</v>
      </c>
      <c r="AH23" s="3">
        <v>-2.7040303701043683E-2</v>
      </c>
      <c r="AI23" s="3">
        <v>4.5270788984639486E-3</v>
      </c>
      <c r="AJ23" s="3">
        <v>1.716503647627161E-3</v>
      </c>
      <c r="AK23" s="3">
        <v>-2.2058823529411783E-2</v>
      </c>
      <c r="AL23" s="3">
        <v>5.8223077014996271E-3</v>
      </c>
      <c r="AM23" s="3">
        <v>2.6689252898341693E-2</v>
      </c>
      <c r="AN23" s="3">
        <v>9.8306634548426947E-3</v>
      </c>
    </row>
    <row r="24" spans="1:40" x14ac:dyDescent="0.3">
      <c r="A24" s="101">
        <v>44348</v>
      </c>
      <c r="B24" s="3">
        <v>-0.11791006404396684</v>
      </c>
      <c r="C24" s="3">
        <v>4.1209479939635337E-3</v>
      </c>
      <c r="D24" s="3">
        <v>1.3157597484376069E-2</v>
      </c>
      <c r="E24" s="3">
        <v>-1.4319175712647683E-3</v>
      </c>
      <c r="F24" s="3">
        <v>-3.4736077769381792E-2</v>
      </c>
      <c r="G24" s="3">
        <v>2.0767889702135778E-2</v>
      </c>
      <c r="H24" s="3">
        <v>1.0516918787374733E-2</v>
      </c>
      <c r="I24" s="3">
        <v>0</v>
      </c>
      <c r="J24" s="3">
        <v>6.5620186245174392E-2</v>
      </c>
      <c r="K24" s="3">
        <v>7.4626865671641784E-2</v>
      </c>
      <c r="L24" s="3">
        <v>-5.8061757051374709E-2</v>
      </c>
      <c r="M24" s="3">
        <v>-0.4896129455499672</v>
      </c>
      <c r="N24" s="3">
        <v>1.3712435113858104E-2</v>
      </c>
      <c r="O24" s="3">
        <v>3.8389173136531029E-3</v>
      </c>
      <c r="P24" s="3">
        <v>-7.8255957420679631E-2</v>
      </c>
      <c r="Q24" s="3">
        <v>-1.9773921469714097E-2</v>
      </c>
      <c r="R24" s="3">
        <v>5.1674365596040663E-3</v>
      </c>
      <c r="S24" s="3">
        <v>-8.7278677970252742E-3</v>
      </c>
      <c r="T24" s="3">
        <v>-1.2381139055486548E-3</v>
      </c>
      <c r="U24" s="3">
        <v>1.099715661637553E-2</v>
      </c>
      <c r="V24" s="3">
        <v>1.1235986430752234E-2</v>
      </c>
      <c r="W24" s="3">
        <v>2.8633911728869064E-2</v>
      </c>
      <c r="X24" s="3">
        <v>6.415396824069837E-3</v>
      </c>
      <c r="Y24" s="3">
        <v>2.4892706856045173E-2</v>
      </c>
      <c r="Z24" s="3">
        <v>1.6949152542372874E-2</v>
      </c>
      <c r="AA24" s="3">
        <v>1.2270738190015723E-2</v>
      </c>
      <c r="AB24" s="3">
        <v>3.981788064793822E-4</v>
      </c>
      <c r="AC24" s="3">
        <v>1.7407676378412798E-3</v>
      </c>
      <c r="AD24" s="3">
        <v>1.8369975946855624E-3</v>
      </c>
      <c r="AE24" s="3">
        <v>8.9243104330037598E-2</v>
      </c>
      <c r="AF24" s="3">
        <v>5.1502091550170978E-2</v>
      </c>
      <c r="AG24" s="3">
        <v>-4.2674253200568925E-3</v>
      </c>
      <c r="AH24" s="3">
        <v>-6.713201530563033E-2</v>
      </c>
      <c r="AI24" s="3">
        <v>-4.2851205802767744E-3</v>
      </c>
      <c r="AJ24" s="3">
        <v>-7.6605013818570851E-3</v>
      </c>
      <c r="AK24" s="3">
        <v>0</v>
      </c>
      <c r="AL24" s="3">
        <v>-1.0447144274767107E-2</v>
      </c>
      <c r="AM24" s="3">
        <v>4.6899212800972411E-3</v>
      </c>
      <c r="AN24" s="3">
        <v>4.9224834696964407E-3</v>
      </c>
    </row>
    <row r="25" spans="1:40" x14ac:dyDescent="0.3">
      <c r="A25" s="101">
        <v>44349</v>
      </c>
      <c r="B25" s="3">
        <v>8.5840885330978653E-2</v>
      </c>
      <c r="C25" s="3">
        <v>8.7942206489466362E-3</v>
      </c>
      <c r="D25" s="3">
        <v>-7.7921415023883278E-3</v>
      </c>
      <c r="E25" s="3">
        <v>4.2223568758142045E-2</v>
      </c>
      <c r="F25" s="3">
        <v>1.7928538703113867E-2</v>
      </c>
      <c r="G25" s="3">
        <v>-3.3672400184092656E-2</v>
      </c>
      <c r="H25" s="3">
        <v>-4.5421724169924238E-3</v>
      </c>
      <c r="I25" s="3">
        <v>6.0281163423022829E-3</v>
      </c>
      <c r="J25" s="3">
        <v>2.2563440010577973E-2</v>
      </c>
      <c r="K25" s="3">
        <v>-1.3888888888888921E-2</v>
      </c>
      <c r="L25" s="3">
        <v>-1.4319175712647683E-3</v>
      </c>
      <c r="M25" s="3">
        <v>-1.4138817480719794E-2</v>
      </c>
      <c r="N25" s="3">
        <v>-2.2064551651316336E-2</v>
      </c>
      <c r="O25" s="3">
        <v>-2.1853699786916676E-3</v>
      </c>
      <c r="P25" s="3">
        <v>-1.2734930260764089E-2</v>
      </c>
      <c r="Q25" s="3">
        <v>2.1613830535329403E-2</v>
      </c>
      <c r="R25" s="3">
        <v>-2.1393039560093786E-2</v>
      </c>
      <c r="S25" s="3">
        <v>1.9548729932786231E-2</v>
      </c>
      <c r="T25" s="3">
        <v>-2.4380181987973728E-2</v>
      </c>
      <c r="U25" s="3">
        <v>-4.9794552164922935E-2</v>
      </c>
      <c r="V25" s="3">
        <v>1.6666569874905085E-2</v>
      </c>
      <c r="W25" s="3">
        <v>-5.8324589381292024E-3</v>
      </c>
      <c r="X25" s="3">
        <v>-3.5856772194087644E-3</v>
      </c>
      <c r="Y25" s="3">
        <v>1.7211079170834996E-2</v>
      </c>
      <c r="Z25" s="3">
        <v>9.8039215686275914E-3</v>
      </c>
      <c r="AA25" s="3">
        <v>-3.0478556136839157E-3</v>
      </c>
      <c r="AB25" s="3">
        <v>-5.7145140678848093E-3</v>
      </c>
      <c r="AC25" s="3">
        <v>1.2079303957961385E-2</v>
      </c>
      <c r="AD25" s="3">
        <v>-1.9068706141203508E-2</v>
      </c>
      <c r="AE25" s="3">
        <v>5.5559824277644091E-3</v>
      </c>
      <c r="AF25" s="3">
        <v>-3.3061242612329712E-2</v>
      </c>
      <c r="AG25" s="3">
        <v>4.7619047619055062E-4</v>
      </c>
      <c r="AH25" s="3">
        <v>0</v>
      </c>
      <c r="AI25" s="3">
        <v>-2.0627632214473998E-2</v>
      </c>
      <c r="AJ25" s="3">
        <v>-2.7120372116016579E-2</v>
      </c>
      <c r="AK25" s="3">
        <v>0.10526315789473677</v>
      </c>
      <c r="AL25" s="3">
        <v>-2.9527007557048446E-3</v>
      </c>
      <c r="AM25" s="3">
        <v>8.5580413070225035E-3</v>
      </c>
      <c r="AN25" s="3">
        <v>7.9239403490629547E-3</v>
      </c>
    </row>
    <row r="26" spans="1:40" x14ac:dyDescent="0.3">
      <c r="A26" s="101">
        <v>44350</v>
      </c>
      <c r="B26" s="3">
        <v>5.8343703849362905E-3</v>
      </c>
      <c r="C26" s="3">
        <v>-3.6808461679679692E-3</v>
      </c>
      <c r="D26" s="3">
        <v>-7.853335806256332E-3</v>
      </c>
      <c r="E26" s="3">
        <v>3.9081778262917088E-2</v>
      </c>
      <c r="F26" s="3">
        <v>-8.1094178012953832E-3</v>
      </c>
      <c r="G26" s="3">
        <v>-9.0582747751078996E-3</v>
      </c>
      <c r="H26" s="3">
        <v>9.089325007192825E-3</v>
      </c>
      <c r="I26" s="3">
        <v>4.9267643051654986E-2</v>
      </c>
      <c r="J26" s="3">
        <v>2.0226946390759535E-2</v>
      </c>
      <c r="K26" s="3">
        <v>-9.3896713615023129E-3</v>
      </c>
      <c r="L26" s="3">
        <v>4.2223568758142045E-2</v>
      </c>
      <c r="M26" s="3">
        <v>0.34941329856584091</v>
      </c>
      <c r="N26" s="3">
        <v>1.3378941404107432E-2</v>
      </c>
      <c r="O26" s="3">
        <v>5.1195553520493514E-2</v>
      </c>
      <c r="P26" s="3">
        <v>4.668304381553795E-2</v>
      </c>
      <c r="Q26" s="3">
        <v>1.5514719154800787E-2</v>
      </c>
      <c r="R26" s="3">
        <v>8.3036580039359386E-3</v>
      </c>
      <c r="S26" s="3">
        <v>2.2413529675474244E-3</v>
      </c>
      <c r="T26" s="3">
        <v>4.2358569984053148E-4</v>
      </c>
      <c r="U26" s="3">
        <v>-9.4124740721358655E-3</v>
      </c>
      <c r="V26" s="3">
        <v>-1.3114791553676465E-2</v>
      </c>
      <c r="W26" s="3">
        <v>-1.3327337986046572E-4</v>
      </c>
      <c r="X26" s="3">
        <v>2.5589744102358987E-2</v>
      </c>
      <c r="Y26" s="3">
        <v>1.525021445149676E-2</v>
      </c>
      <c r="Z26" s="3">
        <v>1.8446601941747524E-2</v>
      </c>
      <c r="AA26" s="3">
        <v>-6.574088090625283E-3</v>
      </c>
      <c r="AB26" s="3">
        <v>2.6163886855623358E-2</v>
      </c>
      <c r="AC26" s="3">
        <v>1.8007789798795571E-3</v>
      </c>
      <c r="AD26" s="3">
        <v>7.4768149089878017E-3</v>
      </c>
      <c r="AE26" s="3">
        <v>9.961081712062286E-3</v>
      </c>
      <c r="AF26" s="3">
        <v>-8.4423262841704667E-3</v>
      </c>
      <c r="AG26" s="3">
        <v>-4.7596382674924142E-4</v>
      </c>
      <c r="AH26" s="3">
        <v>1.8228837104660001E-2</v>
      </c>
      <c r="AI26" s="3">
        <v>1.1364414478105263E-2</v>
      </c>
      <c r="AJ26" s="3">
        <v>3.8943547266775735E-2</v>
      </c>
      <c r="AK26" s="3">
        <v>-8.8435374149659796E-2</v>
      </c>
      <c r="AL26" s="3">
        <v>1.4067038444207468E-2</v>
      </c>
      <c r="AM26" s="3">
        <v>3.1561332911131619E-2</v>
      </c>
      <c r="AN26" s="3">
        <v>1.4508281778138067E-2</v>
      </c>
    </row>
    <row r="27" spans="1:40" x14ac:dyDescent="0.3">
      <c r="A27" s="101">
        <v>44351</v>
      </c>
      <c r="B27" s="3">
        <v>-5.0173981058955201E-2</v>
      </c>
      <c r="C27" s="3">
        <v>-1.2638570669284779E-2</v>
      </c>
      <c r="D27" s="3">
        <v>-1.0553907535620476E-2</v>
      </c>
      <c r="E27" s="3">
        <v>2.0871870072855722E-2</v>
      </c>
      <c r="F27" s="3">
        <v>-7.4093526047659649E-3</v>
      </c>
      <c r="G27" s="3">
        <v>8.2368442724203782E-5</v>
      </c>
      <c r="H27" s="3">
        <v>-4.8310148745461185E-3</v>
      </c>
      <c r="I27" s="3">
        <v>2.7918850195101305E-2</v>
      </c>
      <c r="J27" s="3">
        <v>-3.3043187488837303E-3</v>
      </c>
      <c r="K27" s="3">
        <v>-3.7914691943127993E-2</v>
      </c>
      <c r="L27" s="3">
        <v>3.9081778262917088E-2</v>
      </c>
      <c r="M27" s="3">
        <v>-9.8228663446054756E-2</v>
      </c>
      <c r="N27" s="3">
        <v>3.9156628882964523E-3</v>
      </c>
      <c r="O27" s="3">
        <v>-1.3629573175799185E-2</v>
      </c>
      <c r="P27" s="3">
        <v>-4.1666722906882565E-2</v>
      </c>
      <c r="Q27" s="3">
        <v>-5.5555561420969632E-3</v>
      </c>
      <c r="R27" s="3">
        <v>-6.3864941083793597E-3</v>
      </c>
      <c r="S27" s="3">
        <v>-5.9041440209315281E-2</v>
      </c>
      <c r="T27" s="3">
        <v>1.7358141404093648E-2</v>
      </c>
      <c r="U27" s="3">
        <v>1.3610758497184867E-2</v>
      </c>
      <c r="V27" s="3">
        <v>-1.2181604644088516E-2</v>
      </c>
      <c r="W27" s="3">
        <v>2.2803007855262441E-2</v>
      </c>
      <c r="X27" s="3">
        <v>-5.8479338371916862E-3</v>
      </c>
      <c r="Y27" s="3">
        <v>-8.826275778163915E-3</v>
      </c>
      <c r="Z27" s="3">
        <v>-2.0972354623450967E-2</v>
      </c>
      <c r="AA27" s="3">
        <v>7.5025643403762703E-3</v>
      </c>
      <c r="AB27" s="3">
        <v>2.1344600081321743E-2</v>
      </c>
      <c r="AC27" s="3">
        <v>1.2624379179732552E-2</v>
      </c>
      <c r="AD27" s="3">
        <v>1.4840903887456452E-3</v>
      </c>
      <c r="AE27" s="3">
        <v>-1.4640175794730901E-2</v>
      </c>
      <c r="AF27" s="3">
        <v>9.3655986629042984E-3</v>
      </c>
      <c r="AG27" s="3">
        <v>1.952380952380953E-2</v>
      </c>
      <c r="AH27" s="3">
        <v>3.8076125172738208E-2</v>
      </c>
      <c r="AI27" s="3">
        <v>2.5769538582696028E-2</v>
      </c>
      <c r="AJ27" s="3">
        <v>2.4218527112434517E-2</v>
      </c>
      <c r="AK27" s="3">
        <v>7.462686567164185E-3</v>
      </c>
      <c r="AL27" s="3">
        <v>8.6440150250294938E-3</v>
      </c>
      <c r="AM27" s="3">
        <v>-3.8030915429710095E-3</v>
      </c>
      <c r="AN27" s="3">
        <v>1.8641701452935144E-2</v>
      </c>
    </row>
    <row r="28" spans="1:40" x14ac:dyDescent="0.3">
      <c r="A28" s="101">
        <v>44354</v>
      </c>
      <c r="B28" s="3">
        <v>1.4351148510084955E-2</v>
      </c>
      <c r="C28" s="3">
        <v>1.9702980014516821E-4</v>
      </c>
      <c r="D28" s="3">
        <v>-1.3333307590872465E-2</v>
      </c>
      <c r="E28" s="3">
        <v>3.1155096074467296E-4</v>
      </c>
      <c r="F28" s="3">
        <v>7.9794695328351973E-3</v>
      </c>
      <c r="G28" s="3">
        <v>1.3998599901208007E-3</v>
      </c>
      <c r="H28" s="3">
        <v>-3.8335357709240693E-3</v>
      </c>
      <c r="I28" s="3">
        <v>-2.3456906451890431E-2</v>
      </c>
      <c r="J28" s="3">
        <v>-1.2206120245097747E-2</v>
      </c>
      <c r="K28" s="3">
        <v>-4.8275862068965537E-2</v>
      </c>
      <c r="L28" s="3">
        <v>2.0871870072855722E-2</v>
      </c>
      <c r="M28" s="3">
        <v>0.65464285714285719</v>
      </c>
      <c r="N28" s="3">
        <v>-1.8946947443908065E-3</v>
      </c>
      <c r="O28" s="3">
        <v>4.5765737231833062E-3</v>
      </c>
      <c r="P28" s="3">
        <v>1.9595835884874485E-2</v>
      </c>
      <c r="Q28" s="3">
        <v>-9.7764475449254283E-3</v>
      </c>
      <c r="R28" s="3">
        <v>3.1630662017831539E-2</v>
      </c>
      <c r="S28" s="3">
        <v>4.0063898692538503E-3</v>
      </c>
      <c r="T28" s="3">
        <v>-8.3229614836083706E-3</v>
      </c>
      <c r="U28" s="3">
        <v>-5.8271962901806761E-3</v>
      </c>
      <c r="V28" s="3">
        <v>6.7265728346736532E-3</v>
      </c>
      <c r="W28" s="3">
        <v>-4.1981808817834046E-2</v>
      </c>
      <c r="X28" s="3">
        <v>1.9607843137254902E-2</v>
      </c>
      <c r="Y28" s="3">
        <v>-6.5818693598140741E-3</v>
      </c>
      <c r="Z28" s="3">
        <v>9.7370983446930747E-4</v>
      </c>
      <c r="AA28" s="3">
        <v>-4.0857294832344314E-2</v>
      </c>
      <c r="AB28" s="3">
        <v>-1.7651797989801415E-2</v>
      </c>
      <c r="AC28" s="3">
        <v>-3.3933292727598798E-2</v>
      </c>
      <c r="AD28" s="3">
        <v>-2.5935378489514768E-2</v>
      </c>
      <c r="AE28" s="3">
        <v>-3.5423827856361334E-2</v>
      </c>
      <c r="AF28" s="3">
        <v>-5.4826805228263458E-3</v>
      </c>
      <c r="AG28" s="3">
        <v>-2.8958383932741708E-2</v>
      </c>
      <c r="AH28" s="3">
        <v>-3.590728242925191E-2</v>
      </c>
      <c r="AI28" s="3">
        <v>-3.5857630737144562E-2</v>
      </c>
      <c r="AJ28" s="3">
        <v>-1.8053264856304312E-2</v>
      </c>
      <c r="AK28" s="3">
        <v>1.4814814814814828E-2</v>
      </c>
      <c r="AL28" s="3">
        <v>-2.2152185063698773E-2</v>
      </c>
      <c r="AM28" s="3">
        <v>-1.8037154848428914E-2</v>
      </c>
      <c r="AN28" s="3">
        <v>-1.0855871203769704E-2</v>
      </c>
    </row>
    <row r="29" spans="1:40" x14ac:dyDescent="0.3">
      <c r="A29" s="101">
        <v>44355</v>
      </c>
      <c r="B29" s="3">
        <v>-5.1474997683654204E-2</v>
      </c>
      <c r="C29" s="3">
        <v>-1.358527377448778E-2</v>
      </c>
      <c r="D29" s="3">
        <v>-8.108315873776804E-3</v>
      </c>
      <c r="E29" s="3">
        <v>9.1817635166503622E-3</v>
      </c>
      <c r="F29" s="3">
        <v>3.830373174022524E-3</v>
      </c>
      <c r="G29" s="3">
        <v>2.4669270416337206E-3</v>
      </c>
      <c r="H29" s="3">
        <v>5.7926866318567074E-4</v>
      </c>
      <c r="I29" s="3">
        <v>0</v>
      </c>
      <c r="J29" s="3">
        <v>3.9969152053723325E-2</v>
      </c>
      <c r="K29" s="3">
        <v>4.1407867494823135E-3</v>
      </c>
      <c r="L29" s="3">
        <v>3.1155096074467296E-4</v>
      </c>
      <c r="M29" s="3">
        <v>-0.31167709907187569</v>
      </c>
      <c r="N29" s="3">
        <v>7.8161275600993237E-3</v>
      </c>
      <c r="O29" s="3">
        <v>3.9513044896306818E-2</v>
      </c>
      <c r="P29" s="3">
        <v>-2.6426486486486413E-2</v>
      </c>
      <c r="Q29" s="3">
        <v>-2.3977430095822889E-2</v>
      </c>
      <c r="R29" s="3">
        <v>-2.3610497014842455E-2</v>
      </c>
      <c r="S29" s="3">
        <v>-1.7044974317234323E-3</v>
      </c>
      <c r="T29" s="3">
        <v>4.1964502950802242E-3</v>
      </c>
      <c r="U29" s="3">
        <v>3.4403629907988384E-2</v>
      </c>
      <c r="V29" s="3">
        <v>-1.4476702460400165E-2</v>
      </c>
      <c r="W29" s="3">
        <v>-2.912422675756018E-3</v>
      </c>
      <c r="X29" s="3">
        <v>-1.730773076923078E-2</v>
      </c>
      <c r="Y29" s="3">
        <v>5.1778408486284596E-3</v>
      </c>
      <c r="Z29" s="3">
        <v>-1.5564202334630364E-2</v>
      </c>
      <c r="AA29" s="3">
        <v>2.6154000152115265E-2</v>
      </c>
      <c r="AB29" s="3">
        <v>1.3275414729414504E-2</v>
      </c>
      <c r="AC29" s="3">
        <v>7.0933636938148069E-3</v>
      </c>
      <c r="AD29" s="3">
        <v>-1.521592509639996E-3</v>
      </c>
      <c r="AE29" s="3">
        <v>2.0267531743291961E-3</v>
      </c>
      <c r="AF29" s="3">
        <v>-2.5869542418228822E-2</v>
      </c>
      <c r="AG29" s="3">
        <v>1.7796968840934638E-2</v>
      </c>
      <c r="AH29" s="3">
        <v>8.6637244257313742E-2</v>
      </c>
      <c r="AI29" s="3">
        <v>2.810182802836347E-2</v>
      </c>
      <c r="AJ29" s="3">
        <v>1.3189419812149446E-2</v>
      </c>
      <c r="AK29" s="3">
        <v>7.2992700729925444E-3</v>
      </c>
      <c r="AL29" s="3">
        <v>6.5363796782176012E-3</v>
      </c>
      <c r="AM29" s="3">
        <v>1.7604014184505672E-2</v>
      </c>
      <c r="AN29" s="3">
        <v>7.3800686996777229E-3</v>
      </c>
    </row>
    <row r="30" spans="1:40" x14ac:dyDescent="0.3">
      <c r="A30" s="101">
        <v>44356</v>
      </c>
      <c r="B30" s="3">
        <v>5.077728641507644E-3</v>
      </c>
      <c r="C30" s="3">
        <v>4.5907917543200729E-3</v>
      </c>
      <c r="D30" s="3">
        <v>-1.9073592519704467E-2</v>
      </c>
      <c r="E30" s="3">
        <v>-1.9172181220059481E-2</v>
      </c>
      <c r="F30" s="3">
        <v>-1.195624449803458E-2</v>
      </c>
      <c r="G30" s="3">
        <v>1.7225739735025869E-3</v>
      </c>
      <c r="H30" s="3">
        <v>-4.6233694728064125E-3</v>
      </c>
      <c r="I30" s="3">
        <v>-1.5170590298025878E-2</v>
      </c>
      <c r="J30" s="3">
        <v>-8.0676504294473674E-3</v>
      </c>
      <c r="K30" s="3">
        <v>3.0927835051546466E-2</v>
      </c>
      <c r="L30" s="3">
        <v>9.1817635166503622E-3</v>
      </c>
      <c r="M30" s="3">
        <v>-0.15051740357478832</v>
      </c>
      <c r="N30" s="3">
        <v>3.5452888169388895E-3</v>
      </c>
      <c r="O30" s="3">
        <v>6.9952337593401854E-3</v>
      </c>
      <c r="P30" s="3">
        <v>1.7890254033945355E-2</v>
      </c>
      <c r="Q30" s="3">
        <v>-1.8786217332998279E-2</v>
      </c>
      <c r="R30" s="3">
        <v>8.7321082107328935E-3</v>
      </c>
      <c r="S30" s="3">
        <v>0</v>
      </c>
      <c r="T30" s="3">
        <v>1.2536526887623339E-2</v>
      </c>
      <c r="U30" s="3">
        <v>2.3651234942001963E-2</v>
      </c>
      <c r="V30" s="3">
        <v>-1.1298983174766945E-3</v>
      </c>
      <c r="W30" s="3">
        <v>-1.7279377069590703E-2</v>
      </c>
      <c r="X30" s="3">
        <v>-6.8492761976233218E-3</v>
      </c>
      <c r="Y30" s="3">
        <v>-1.9940180234747965E-3</v>
      </c>
      <c r="Z30" s="3">
        <v>1.6798418972332009E-2</v>
      </c>
      <c r="AA30" s="3">
        <v>-2.6613155643730319E-2</v>
      </c>
      <c r="AB30" s="3">
        <v>-3.0725915113030491E-2</v>
      </c>
      <c r="AC30" s="3">
        <v>-8.3163575959542685E-2</v>
      </c>
      <c r="AD30" s="3">
        <v>-3.2097858650847959E-2</v>
      </c>
      <c r="AE30" s="3">
        <v>-8.4951053154547432E-3</v>
      </c>
      <c r="AF30" s="3">
        <v>-2.8297833980379879E-2</v>
      </c>
      <c r="AG30" s="3">
        <v>-4.2533081285444169E-2</v>
      </c>
      <c r="AH30" s="3">
        <v>-6.633900730392632E-2</v>
      </c>
      <c r="AI30" s="3">
        <v>-4.2216217750241689E-2</v>
      </c>
      <c r="AJ30" s="3">
        <v>-7.6232755526734766E-2</v>
      </c>
      <c r="AK30" s="3">
        <v>-5.797101449275352E-2</v>
      </c>
      <c r="AL30" s="3">
        <v>-5.6496362567805068E-2</v>
      </c>
      <c r="AM30" s="3">
        <v>-4.831407311872192E-2</v>
      </c>
      <c r="AN30" s="3">
        <v>-2.240276129492666E-2</v>
      </c>
    </row>
    <row r="31" spans="1:40" x14ac:dyDescent="0.3">
      <c r="A31" s="101">
        <v>44357</v>
      </c>
      <c r="B31" s="3">
        <v>3.315447015020502E-2</v>
      </c>
      <c r="C31" s="3">
        <v>8.5435523886557355E-3</v>
      </c>
      <c r="D31" s="3">
        <v>1.3888864946863035E-2</v>
      </c>
      <c r="E31" s="3">
        <v>1.921660120756313E-2</v>
      </c>
      <c r="F31" s="3">
        <v>1.8280156235318767E-2</v>
      </c>
      <c r="G31" s="3">
        <v>3.2754175415472815E-3</v>
      </c>
      <c r="H31" s="3">
        <v>1.4625972082126792E-2</v>
      </c>
      <c r="I31" s="3">
        <v>0</v>
      </c>
      <c r="J31" s="3">
        <v>4.259088640034555E-2</v>
      </c>
      <c r="K31" s="3">
        <v>9.9999999999999638E-3</v>
      </c>
      <c r="L31" s="3">
        <v>-1.9172181220059481E-2</v>
      </c>
      <c r="M31" s="3">
        <v>8.3425618309339242E-2</v>
      </c>
      <c r="N31" s="3">
        <v>0</v>
      </c>
      <c r="O31" s="3">
        <v>5.515564780026902E-2</v>
      </c>
      <c r="P31" s="3">
        <v>1.9393939393939411E-2</v>
      </c>
      <c r="Q31" s="3">
        <v>1.4728473713211605E-3</v>
      </c>
      <c r="R31" s="3">
        <v>0</v>
      </c>
      <c r="S31" s="3">
        <v>0</v>
      </c>
      <c r="T31" s="3">
        <v>0</v>
      </c>
      <c r="U31" s="3">
        <v>0</v>
      </c>
      <c r="V31" s="3">
        <v>7.9185258321302771E-3</v>
      </c>
      <c r="W31" s="3">
        <v>5.833293364445497E-3</v>
      </c>
      <c r="X31" s="3">
        <v>2.2660137931034496E-2</v>
      </c>
      <c r="Y31" s="3">
        <v>7.1595518377004282E-3</v>
      </c>
      <c r="Z31" s="3">
        <v>-1.4577259475218521E-2</v>
      </c>
      <c r="AA31" s="3">
        <v>5.1691109588962766E-2</v>
      </c>
      <c r="AB31" s="3">
        <v>2.3046757765646783E-2</v>
      </c>
      <c r="AC31" s="3">
        <v>2.1103280996822564E-2</v>
      </c>
      <c r="AD31" s="3">
        <v>9.8698634630634014E-3</v>
      </c>
      <c r="AE31" s="3">
        <v>-6.1199508905764775E-2</v>
      </c>
      <c r="AF31" s="3">
        <v>3.2706156984675008E-2</v>
      </c>
      <c r="AG31" s="3">
        <v>-1.8262635735439389E-2</v>
      </c>
      <c r="AH31" s="3">
        <v>-2.3684276845120648E-2</v>
      </c>
      <c r="AI31" s="3">
        <v>2.3077523265180293E-3</v>
      </c>
      <c r="AJ31" s="3">
        <v>2.3486779131216162E-2</v>
      </c>
      <c r="AK31" s="3">
        <v>-1.5384615384615398E-2</v>
      </c>
      <c r="AL31" s="3">
        <v>2.5788571551353612E-2</v>
      </c>
      <c r="AM31" s="3">
        <v>8.6603429227831361E-3</v>
      </c>
      <c r="AN31" s="3">
        <v>-4.6381520669687235E-3</v>
      </c>
    </row>
    <row r="32" spans="1:40" x14ac:dyDescent="0.3">
      <c r="A32" s="101">
        <v>44358</v>
      </c>
      <c r="B32" s="3">
        <v>2.2616043202097428E-2</v>
      </c>
      <c r="C32" s="3">
        <v>-3.4672944262666879E-2</v>
      </c>
      <c r="D32" s="3">
        <v>3.0137105083293356E-2</v>
      </c>
      <c r="E32" s="3">
        <v>6.714203271714415E-3</v>
      </c>
      <c r="F32" s="3">
        <v>-1.2515842716794843E-2</v>
      </c>
      <c r="G32" s="3">
        <v>4.1544271340457128E-2</v>
      </c>
      <c r="H32" s="3">
        <v>-1.5232903070632668E-3</v>
      </c>
      <c r="I32" s="3">
        <v>4.4928115738130207E-3</v>
      </c>
      <c r="J32" s="3">
        <v>-2.0709398376289673E-2</v>
      </c>
      <c r="K32" s="3">
        <v>-5.7425742574257435E-2</v>
      </c>
      <c r="L32" s="3">
        <v>1.921660120756313E-2</v>
      </c>
      <c r="M32" s="3">
        <v>0.29880749574105619</v>
      </c>
      <c r="N32" s="3">
        <v>1.5455894375818481E-3</v>
      </c>
      <c r="O32" s="3">
        <v>-3.2363088436250326E-2</v>
      </c>
      <c r="P32" s="3">
        <v>-5.945897740784208E-4</v>
      </c>
      <c r="Q32" s="3">
        <v>-3.676470288723048E-2</v>
      </c>
      <c r="R32" s="3">
        <v>-1.6147766079013522E-2</v>
      </c>
      <c r="S32" s="3">
        <v>0</v>
      </c>
      <c r="T32" s="3">
        <v>2.6413519721548834E-2</v>
      </c>
      <c r="U32" s="3">
        <v>-2.3104778399785739E-2</v>
      </c>
      <c r="V32" s="3">
        <v>-1.6835016511140395E-2</v>
      </c>
      <c r="W32" s="3">
        <v>-7.1803012314333361E-3</v>
      </c>
      <c r="X32" s="3">
        <v>-1.2138766391569647E-2</v>
      </c>
      <c r="Y32" s="3">
        <v>-4.8493139094653052E-3</v>
      </c>
      <c r="Z32" s="3">
        <v>6.9033530571992385E-3</v>
      </c>
      <c r="AA32" s="3">
        <v>6.9807310598791611E-2</v>
      </c>
      <c r="AB32" s="3">
        <v>8.3475773847462176E-3</v>
      </c>
      <c r="AC32" s="3">
        <v>2.9142530951516255E-2</v>
      </c>
      <c r="AD32" s="3">
        <v>-7.8189048878998238E-4</v>
      </c>
      <c r="AE32" s="3">
        <v>1.2863937083078562E-2</v>
      </c>
      <c r="AF32" s="3">
        <v>1.1713893383317298E-2</v>
      </c>
      <c r="AG32" s="3">
        <v>4.0221218713988802E-3</v>
      </c>
      <c r="AH32" s="3">
        <v>2.8975824343915345E-2</v>
      </c>
      <c r="AI32" s="3">
        <v>1.0590859789402052E-2</v>
      </c>
      <c r="AJ32" s="3">
        <v>2.2739047272407688E-2</v>
      </c>
      <c r="AK32" s="3">
        <v>1.5625000000000014E-2</v>
      </c>
      <c r="AL32" s="3">
        <v>1.3362280767139752E-2</v>
      </c>
      <c r="AM32" s="3">
        <v>1.7440343382531649E-2</v>
      </c>
      <c r="AN32" s="3">
        <v>2.9264485541553305E-2</v>
      </c>
    </row>
    <row r="33" spans="1:40" x14ac:dyDescent="0.3">
      <c r="A33" s="101">
        <v>44361</v>
      </c>
      <c r="B33" s="3">
        <v>-3.496707627348844E-2</v>
      </c>
      <c r="C33" s="3">
        <v>1.5714306753878311E-2</v>
      </c>
      <c r="D33" s="3">
        <v>-2.925543108250292E-2</v>
      </c>
      <c r="E33" s="3">
        <v>4.0585424382866539E-2</v>
      </c>
      <c r="F33" s="3">
        <v>-6.9133095893481608E-3</v>
      </c>
      <c r="G33" s="3">
        <v>-1.2303110945042569E-2</v>
      </c>
      <c r="H33" s="3">
        <v>6.6444515818211269E-3</v>
      </c>
      <c r="I33" s="3">
        <v>-2.8753925639107922E-2</v>
      </c>
      <c r="J33" s="3">
        <v>1.709155184498912E-2</v>
      </c>
      <c r="K33" s="3">
        <v>-8.1932773109243628E-2</v>
      </c>
      <c r="L33" s="3">
        <v>6.714203271714415E-3</v>
      </c>
      <c r="M33" s="3">
        <v>-0.15870933892969569</v>
      </c>
      <c r="N33" s="3">
        <v>-2.0612771735757433E-2</v>
      </c>
      <c r="O33" s="3">
        <v>-1.229505767120067E-3</v>
      </c>
      <c r="P33" s="3">
        <v>-5.9488403300925609E-4</v>
      </c>
      <c r="Q33" s="3">
        <v>-3.5114499765866274E-2</v>
      </c>
      <c r="R33" s="3">
        <v>-2.8426395870157203E-2</v>
      </c>
      <c r="S33" s="3">
        <v>3.1179446180588953E-2</v>
      </c>
      <c r="T33" s="3">
        <v>5.6292609124017901E-3</v>
      </c>
      <c r="U33" s="3">
        <v>3.6955725139750689E-3</v>
      </c>
      <c r="V33" s="3">
        <v>1.0273952834019074E-2</v>
      </c>
      <c r="W33" s="3">
        <v>-6.5368186391999133E-3</v>
      </c>
      <c r="X33" s="3">
        <v>5.8511800273057448E-4</v>
      </c>
      <c r="Y33" s="3">
        <v>1.0299579385338613E-2</v>
      </c>
      <c r="Z33" s="3">
        <v>1.9588638589617602E-3</v>
      </c>
      <c r="AA33" s="3">
        <v>3.6876806177086559E-2</v>
      </c>
      <c r="AB33" s="3">
        <v>-1.8914161949441942E-3</v>
      </c>
      <c r="AC33" s="3">
        <v>4.6153149587915415E-2</v>
      </c>
      <c r="AD33" s="3">
        <v>-7.4335420758792937E-3</v>
      </c>
      <c r="AE33" s="3">
        <v>0.10177636747426716</v>
      </c>
      <c r="AF33" s="3">
        <v>1.2006714710277849E-2</v>
      </c>
      <c r="AG33" s="3">
        <v>-2.3535254057849547E-2</v>
      </c>
      <c r="AH33" s="3">
        <v>-8.5134487457654059E-3</v>
      </c>
      <c r="AI33" s="3">
        <v>1.0707898767940253E-2</v>
      </c>
      <c r="AJ33" s="3">
        <v>-6.6292897740153067E-3</v>
      </c>
      <c r="AK33" s="3">
        <v>7.6923076923076988E-3</v>
      </c>
      <c r="AL33" s="3">
        <v>1.7282051897315433E-2</v>
      </c>
      <c r="AM33" s="3">
        <v>6.7246847298651505E-2</v>
      </c>
      <c r="AN33" s="3">
        <v>4.3453391382695258E-2</v>
      </c>
    </row>
    <row r="34" spans="1:40" x14ac:dyDescent="0.3">
      <c r="A34" s="101">
        <v>44362</v>
      </c>
      <c r="B34" s="3">
        <v>4.2118393349141997E-2</v>
      </c>
      <c r="C34" s="3">
        <v>-3.0138628405883012E-2</v>
      </c>
      <c r="D34" s="3">
        <v>-1.9177822890065407E-2</v>
      </c>
      <c r="E34" s="3">
        <v>1.212297574424104E-2</v>
      </c>
      <c r="F34" s="3">
        <v>-1.985302919727288E-2</v>
      </c>
      <c r="G34" s="3">
        <v>4.6175816834530231E-2</v>
      </c>
      <c r="H34" s="3">
        <v>-1.0648692843042145E-3</v>
      </c>
      <c r="I34" s="3">
        <v>-1.184207644104158E-2</v>
      </c>
      <c r="J34" s="3">
        <v>-4.4147631663872594E-3</v>
      </c>
      <c r="K34" s="3">
        <v>1.6018306636155669E-2</v>
      </c>
      <c r="L34" s="3">
        <v>4.0585424382866539E-2</v>
      </c>
      <c r="M34" s="3">
        <v>3.7505456813221079</v>
      </c>
      <c r="N34" s="3">
        <v>-5.4023811668269164E-3</v>
      </c>
      <c r="O34" s="3">
        <v>-3.2819609245519899E-4</v>
      </c>
      <c r="P34" s="3">
        <v>2.1428632227894803E-2</v>
      </c>
      <c r="Q34" s="3">
        <v>-4.7469363847636743E-3</v>
      </c>
      <c r="R34" s="3">
        <v>3.3089461690504851E-3</v>
      </c>
      <c r="S34" s="3">
        <v>-1.3140932511381677E-3</v>
      </c>
      <c r="T34" s="3">
        <v>1.9992490263718798E-3</v>
      </c>
      <c r="U34" s="3">
        <v>1.4972949876357987E-2</v>
      </c>
      <c r="V34" s="3">
        <v>-1.2429365622744269E-2</v>
      </c>
      <c r="W34" s="3">
        <v>-2.5059523951942841E-2</v>
      </c>
      <c r="X34" s="3">
        <v>-1.9489279132350588E-4</v>
      </c>
      <c r="Y34" s="3">
        <v>7.6185202677751607E-3</v>
      </c>
      <c r="Z34" s="3">
        <v>0</v>
      </c>
      <c r="AA34" s="3">
        <v>7.9517351612158046E-2</v>
      </c>
      <c r="AB34" s="3">
        <v>0</v>
      </c>
      <c r="AC34" s="3">
        <v>-1.7385834341580753E-2</v>
      </c>
      <c r="AD34" s="3">
        <v>1.8131582633274534E-2</v>
      </c>
      <c r="AE34" s="3">
        <v>2.0250409068077301E-3</v>
      </c>
      <c r="AF34" s="3">
        <v>-1.4830549892317385E-2</v>
      </c>
      <c r="AG34" s="3">
        <v>1.0769179487179478E-2</v>
      </c>
      <c r="AH34" s="3">
        <v>5.4029053333609987E-2</v>
      </c>
      <c r="AI34" s="3">
        <v>3.035533287334451E-2</v>
      </c>
      <c r="AJ34" s="3">
        <v>1.0574927652860144E-2</v>
      </c>
      <c r="AK34" s="3">
        <v>7.6335877862595486E-3</v>
      </c>
      <c r="AL34" s="3">
        <v>1.8539136602597924E-2</v>
      </c>
      <c r="AM34" s="3">
        <v>-1.8017460937604163E-2</v>
      </c>
      <c r="AN34" s="3">
        <v>4.0296036965240482E-3</v>
      </c>
    </row>
    <row r="35" spans="1:40" x14ac:dyDescent="0.3">
      <c r="A35" s="101">
        <v>44363</v>
      </c>
      <c r="B35" s="3">
        <v>-3.3878350997077471E-2</v>
      </c>
      <c r="C35" s="3">
        <v>-5.179219617731665E-3</v>
      </c>
      <c r="D35" s="3">
        <v>-1.6759916955913029E-2</v>
      </c>
      <c r="E35" s="3">
        <v>1.4236327308637265E-3</v>
      </c>
      <c r="F35" s="3">
        <v>2.1833439633736337E-2</v>
      </c>
      <c r="G35" s="3">
        <v>-1.5395108331600904E-2</v>
      </c>
      <c r="H35" s="3">
        <v>1.0408515259434266E-2</v>
      </c>
      <c r="I35" s="3">
        <v>1.7310217938814758E-2</v>
      </c>
      <c r="J35" s="3">
        <v>-6.0078102260083671E-3</v>
      </c>
      <c r="K35" s="3">
        <v>-6.0810810810810911E-2</v>
      </c>
      <c r="L35" s="3">
        <v>1.212297574424104E-2</v>
      </c>
      <c r="M35" s="3">
        <v>-0.75858221201181486</v>
      </c>
      <c r="N35" s="3">
        <v>-1.5955676786761467E-2</v>
      </c>
      <c r="O35" s="3">
        <v>2.8735543512138063E-2</v>
      </c>
      <c r="P35" s="3">
        <v>-3.4382284382284377E-2</v>
      </c>
      <c r="Q35" s="3">
        <v>2.5437202957942683E-2</v>
      </c>
      <c r="R35" s="3">
        <v>8.3318943120050549E-3</v>
      </c>
      <c r="S35" s="3">
        <v>-8.8158072820985253E-3</v>
      </c>
      <c r="T35" s="3">
        <v>2.8332021213069915E-2</v>
      </c>
      <c r="U35" s="3">
        <v>-2.418307250119908E-3</v>
      </c>
      <c r="V35" s="3">
        <v>2.7460032299231184E-2</v>
      </c>
      <c r="W35" s="3">
        <v>8.6158336451540459E-4</v>
      </c>
      <c r="X35" s="3">
        <v>-7.6038017624526074E-3</v>
      </c>
      <c r="Y35" s="3">
        <v>7.3977427632232031E-3</v>
      </c>
      <c r="Z35" s="3">
        <v>5.8651026392960628E-3</v>
      </c>
      <c r="AA35" s="3">
        <v>0.13479392690738379</v>
      </c>
      <c r="AB35" s="3">
        <v>2.6750066319084595E-2</v>
      </c>
      <c r="AC35" s="3">
        <v>2.9389088590430077E-2</v>
      </c>
      <c r="AD35" s="3">
        <v>1.2388629273370956E-2</v>
      </c>
      <c r="AE35" s="3">
        <v>2.6272873359014782E-2</v>
      </c>
      <c r="AF35" s="3">
        <v>1.8924645106477241E-2</v>
      </c>
      <c r="AG35" s="3">
        <v>1.2176662210891056E-2</v>
      </c>
      <c r="AH35" s="3">
        <v>-9.7756378708490788E-3</v>
      </c>
      <c r="AI35" s="3">
        <v>2.2314602559716245E-2</v>
      </c>
      <c r="AJ35" s="3">
        <v>1.5442506177355623E-2</v>
      </c>
      <c r="AK35" s="3">
        <v>1.5151515151515164E-2</v>
      </c>
      <c r="AL35" s="3">
        <v>2.1164784308530343E-2</v>
      </c>
      <c r="AM35" s="3">
        <v>3.5479843292588131E-2</v>
      </c>
      <c r="AN35" s="3">
        <v>5.7689555116697634E-2</v>
      </c>
    </row>
    <row r="36" spans="1:40" x14ac:dyDescent="0.3">
      <c r="A36" s="101">
        <v>44364</v>
      </c>
      <c r="B36" s="3">
        <v>-8.6126617070319024E-3</v>
      </c>
      <c r="C36" s="3">
        <v>4.1440988131741734E-2</v>
      </c>
      <c r="D36" s="3">
        <v>-1.7045599792905861E-2</v>
      </c>
      <c r="E36" s="3">
        <v>1.7352902728471818E-2</v>
      </c>
      <c r="F36" s="3">
        <v>1.6861866343304409E-2</v>
      </c>
      <c r="G36" s="3">
        <v>4.6984448170924224E-2</v>
      </c>
      <c r="H36" s="3">
        <v>-1.7307122394546394E-3</v>
      </c>
      <c r="I36" s="3">
        <v>0</v>
      </c>
      <c r="J36" s="3">
        <v>5.2093854647658623E-2</v>
      </c>
      <c r="K36" s="3">
        <v>7.6738609112709896E-2</v>
      </c>
      <c r="L36" s="3">
        <v>1.4236327308637265E-3</v>
      </c>
      <c r="M36" s="3">
        <v>-0.20309951060358891</v>
      </c>
      <c r="N36" s="3">
        <v>-3.7949043762645651E-3</v>
      </c>
      <c r="O36" s="3">
        <v>2.9529133573953256E-2</v>
      </c>
      <c r="P36" s="3">
        <v>-3.5606517803258894E-2</v>
      </c>
      <c r="Q36" s="3">
        <v>-3.5658817179147734E-2</v>
      </c>
      <c r="R36" s="3">
        <v>-1.2050583369323986E-3</v>
      </c>
      <c r="S36" s="3">
        <v>-2.7876004754229041E-3</v>
      </c>
      <c r="T36" s="3">
        <v>-9.7012795429262649E-3</v>
      </c>
      <c r="U36" s="3">
        <v>-1.4545822167601888E-3</v>
      </c>
      <c r="V36" s="3">
        <v>4.4542599043715658E-3</v>
      </c>
      <c r="W36" s="3">
        <v>-2.8694482193436038E-2</v>
      </c>
      <c r="X36" s="3">
        <v>-4.1257955156858419E-3</v>
      </c>
      <c r="Y36" s="3">
        <v>-4.41144607577936E-2</v>
      </c>
      <c r="Z36" s="3">
        <v>-4.0816326530612242E-2</v>
      </c>
      <c r="AA36" s="3">
        <v>1.3327687727556209E-2</v>
      </c>
      <c r="AB36" s="3">
        <v>-3.1027563970497467E-3</v>
      </c>
      <c r="AC36" s="3">
        <v>2.4138588414094652E-3</v>
      </c>
      <c r="AD36" s="3">
        <v>-1.8355523447716078E-2</v>
      </c>
      <c r="AE36" s="3">
        <v>-1.2194205954663462E-2</v>
      </c>
      <c r="AF36" s="3">
        <v>-3.1236690319757187E-2</v>
      </c>
      <c r="AG36" s="3">
        <v>-2.0551377415971062E-2</v>
      </c>
      <c r="AH36" s="3">
        <v>1.5061401095465516E-2</v>
      </c>
      <c r="AI36" s="3">
        <v>-3.5380592144976512E-2</v>
      </c>
      <c r="AJ36" s="3">
        <v>-2.8814419283555028E-2</v>
      </c>
      <c r="AK36" s="3">
        <v>-2.985074626865674E-2</v>
      </c>
      <c r="AL36" s="3">
        <v>-7.0335090173959704E-3</v>
      </c>
      <c r="AM36" s="3">
        <v>-1.3162835961859007E-3</v>
      </c>
      <c r="AN36" s="3">
        <v>-1.8619369762274192E-2</v>
      </c>
    </row>
    <row r="37" spans="1:40" x14ac:dyDescent="0.3">
      <c r="A37" s="101">
        <v>44365</v>
      </c>
      <c r="B37" s="3">
        <v>3.8473582018088842E-2</v>
      </c>
      <c r="C37" s="3">
        <v>-1.7196522869510705E-2</v>
      </c>
      <c r="D37" s="3">
        <v>6.16144217869279E-2</v>
      </c>
      <c r="E37" s="3">
        <v>-1.7924173488139586E-2</v>
      </c>
      <c r="F37" s="3">
        <v>-5.063369888044922E-4</v>
      </c>
      <c r="G37" s="3">
        <v>2.0966719243485931E-2</v>
      </c>
      <c r="H37" s="3">
        <v>2.9568115517521532E-3</v>
      </c>
      <c r="I37" s="3">
        <v>0</v>
      </c>
      <c r="J37" s="3">
        <v>-6.2915751638662918E-3</v>
      </c>
      <c r="K37" s="3">
        <v>4.4543429844097048E-3</v>
      </c>
      <c r="L37" s="3">
        <v>1.7352902728471818E-2</v>
      </c>
      <c r="M37" s="3">
        <v>0.15591948140566358</v>
      </c>
      <c r="N37" s="3">
        <v>0</v>
      </c>
      <c r="O37" s="3">
        <v>-1.8605087568504184E-3</v>
      </c>
      <c r="P37" s="3">
        <v>4.3804130162702912E-3</v>
      </c>
      <c r="Q37" s="3">
        <v>4.5015970214212886E-2</v>
      </c>
      <c r="R37" s="3">
        <v>0</v>
      </c>
      <c r="S37" s="3">
        <v>0</v>
      </c>
      <c r="T37" s="3">
        <v>0</v>
      </c>
      <c r="U37" s="3">
        <v>0</v>
      </c>
      <c r="V37" s="3">
        <v>4.4346024373800889E-3</v>
      </c>
      <c r="W37" s="3">
        <v>3.6632213783868196E-2</v>
      </c>
      <c r="X37" s="3">
        <v>6.1156245041551439E-3</v>
      </c>
      <c r="Y37" s="3">
        <v>1.0450240131335071E-2</v>
      </c>
      <c r="Z37" s="3">
        <v>-3.0395136778114855E-3</v>
      </c>
      <c r="AA37" s="3">
        <v>-1.7253496817137913E-2</v>
      </c>
      <c r="AB37" s="3">
        <v>2.3290125823102303E-2</v>
      </c>
      <c r="AC37" s="3">
        <v>1.129287133067809E-2</v>
      </c>
      <c r="AD37" s="3">
        <v>-1.168678042925355E-2</v>
      </c>
      <c r="AE37" s="3">
        <v>2.5609546474613588E-2</v>
      </c>
      <c r="AF37" s="3">
        <v>-1.3071142571919677E-3</v>
      </c>
      <c r="AG37" s="3">
        <v>-9.7236944870165952E-3</v>
      </c>
      <c r="AH37" s="3">
        <v>-1.3715748850724145E-2</v>
      </c>
      <c r="AI37" s="3">
        <v>-1.7747497610338153E-3</v>
      </c>
      <c r="AJ37" s="3">
        <v>1.8234165381499919E-2</v>
      </c>
      <c r="AK37" s="3">
        <v>2.3076923076923096E-2</v>
      </c>
      <c r="AL37" s="3">
        <v>7.285311923727238E-3</v>
      </c>
      <c r="AM37" s="3">
        <v>1.950684346251234E-2</v>
      </c>
      <c r="AN37" s="3">
        <v>2.6995580716682926E-2</v>
      </c>
    </row>
    <row r="38" spans="1:40" x14ac:dyDescent="0.3">
      <c r="A38" s="101">
        <v>44368</v>
      </c>
      <c r="B38" s="3">
        <v>-4.6310224657605918E-2</v>
      </c>
      <c r="C38" s="3">
        <v>2.1159657766475742E-2</v>
      </c>
      <c r="D38" s="3">
        <v>-1.0899397390710998E-2</v>
      </c>
      <c r="E38" s="3">
        <v>1.9133877171841809E-3</v>
      </c>
      <c r="F38" s="3">
        <v>-1.013168449312884E-2</v>
      </c>
      <c r="G38" s="3">
        <v>5.1160542233466425E-3</v>
      </c>
      <c r="H38" s="3">
        <v>3.5400814573926134E-3</v>
      </c>
      <c r="I38" s="3">
        <v>-5.2355968288060961E-3</v>
      </c>
      <c r="J38" s="3">
        <v>2.6151836133742647E-3</v>
      </c>
      <c r="K38" s="3">
        <v>-2.2172949002216822E-3</v>
      </c>
      <c r="L38" s="3">
        <v>-1.7924173488139586E-2</v>
      </c>
      <c r="M38" s="3">
        <v>-1.5348288075560802E-2</v>
      </c>
      <c r="N38" s="3">
        <v>4.7327431868211143E-3</v>
      </c>
      <c r="O38" s="3">
        <v>2.7726019054662886E-2</v>
      </c>
      <c r="P38" s="3">
        <v>-1.8691527644331921E-2</v>
      </c>
      <c r="Q38" s="3">
        <v>-1.0769230715008505E-2</v>
      </c>
      <c r="R38" s="3">
        <v>2.9817305599584707E-2</v>
      </c>
      <c r="S38" s="3">
        <v>0</v>
      </c>
      <c r="T38" s="3">
        <v>2.3510982490019374E-3</v>
      </c>
      <c r="U38" s="3">
        <v>5.0983406032457709E-3</v>
      </c>
      <c r="V38" s="3">
        <v>1.1038031750161977E-3</v>
      </c>
      <c r="W38" s="3">
        <v>-1.9663618788445053E-2</v>
      </c>
      <c r="X38" s="3">
        <v>3.9215686274515933E-4</v>
      </c>
      <c r="Y38" s="3">
        <v>2.851039723528505E-3</v>
      </c>
      <c r="Z38" s="3">
        <v>2.0325203252032089E-3</v>
      </c>
      <c r="AA38" s="3">
        <v>2.0792451723707344E-2</v>
      </c>
      <c r="AB38" s="3">
        <v>4.3003958125974358E-3</v>
      </c>
      <c r="AC38" s="3">
        <v>3.7769849431235022E-3</v>
      </c>
      <c r="AD38" s="3">
        <v>-1.3795735512019677E-2</v>
      </c>
      <c r="AE38" s="3">
        <v>0.11909395630584457</v>
      </c>
      <c r="AF38" s="3">
        <v>-3.5776681697556385E-2</v>
      </c>
      <c r="AG38" s="3">
        <v>-2.8940516795865696E-2</v>
      </c>
      <c r="AH38" s="3">
        <v>-1.2642260663736606E-2</v>
      </c>
      <c r="AI38" s="3">
        <v>-1.081564876029412E-2</v>
      </c>
      <c r="AJ38" s="3">
        <v>-1.8717081306067664E-2</v>
      </c>
      <c r="AK38" s="3">
        <v>7.5187969924812095E-3</v>
      </c>
      <c r="AL38" s="3">
        <v>1.0020012967111658E-2</v>
      </c>
      <c r="AM38" s="3">
        <v>9.9049504950574768E-3</v>
      </c>
      <c r="AN38" s="3">
        <v>3.2949191244692644E-2</v>
      </c>
    </row>
    <row r="39" spans="1:40" x14ac:dyDescent="0.3">
      <c r="A39" s="101">
        <v>44369</v>
      </c>
      <c r="B39" s="3">
        <v>1.4411107004509423E-2</v>
      </c>
      <c r="C39" s="3">
        <v>1.7732746909755369E-2</v>
      </c>
      <c r="D39" s="3">
        <v>2.203872199041125E-2</v>
      </c>
      <c r="E39" s="3">
        <v>9.0591389698074509E-3</v>
      </c>
      <c r="F39" s="3">
        <v>5.1184171798126664E-4</v>
      </c>
      <c r="G39" s="3">
        <v>1.6990435981416838E-2</v>
      </c>
      <c r="H39" s="3">
        <v>-6.7405744039074622E-3</v>
      </c>
      <c r="I39" s="3">
        <v>3.2894956333606199E-3</v>
      </c>
      <c r="J39" s="3">
        <v>1.4088264793537352E-2</v>
      </c>
      <c r="K39" s="3">
        <v>8.8888888888888976E-3</v>
      </c>
      <c r="L39" s="3">
        <v>1.9133877171841809E-3</v>
      </c>
      <c r="M39" s="3">
        <v>-0.55575539568345322</v>
      </c>
      <c r="N39" s="3">
        <v>1.0914591480231644E-2</v>
      </c>
      <c r="O39" s="3">
        <v>-1.5871008854411914E-3</v>
      </c>
      <c r="P39" s="3">
        <v>-1.6507936507936496E-2</v>
      </c>
      <c r="Q39" s="3">
        <v>2.0217729521916559E-2</v>
      </c>
      <c r="R39" s="3">
        <v>-4.1841528932158416E-3</v>
      </c>
      <c r="S39" s="3">
        <v>-2.2397593846682644E-2</v>
      </c>
      <c r="T39" s="3">
        <v>3.8311224725947494E-2</v>
      </c>
      <c r="U39" s="3">
        <v>2.2222141522617839E-2</v>
      </c>
      <c r="V39" s="3">
        <v>-1.3230466858053016E-2</v>
      </c>
      <c r="W39" s="3">
        <v>-1.5407098198875899E-2</v>
      </c>
      <c r="X39" s="3">
        <v>1.136805174441388E-2</v>
      </c>
      <c r="Y39" s="3">
        <v>-9.3650259733821552E-3</v>
      </c>
      <c r="Z39" s="3">
        <v>-9.12778904665313E-3</v>
      </c>
      <c r="AA39" s="3">
        <v>0.10784776741174686</v>
      </c>
      <c r="AB39" s="3">
        <v>1.749218559021305E-3</v>
      </c>
      <c r="AC39" s="3">
        <v>2.3313169734151488E-3</v>
      </c>
      <c r="AD39" s="3">
        <v>1.039156823993523E-2</v>
      </c>
      <c r="AE39" s="3">
        <v>2.2446395584923642E-2</v>
      </c>
      <c r="AF39" s="3">
        <v>3.755659101377469E-2</v>
      </c>
      <c r="AG39" s="3">
        <v>1.3304948733105443E-2</v>
      </c>
      <c r="AH39" s="3">
        <v>-3.7772065137592528E-2</v>
      </c>
      <c r="AI39" s="3">
        <v>1.2730909574394894E-3</v>
      </c>
      <c r="AJ39" s="3">
        <v>1.0310257478552961E-2</v>
      </c>
      <c r="AK39" s="3">
        <v>-2.2388059701492557E-2</v>
      </c>
      <c r="AL39" s="3">
        <v>2.0350869297612817E-2</v>
      </c>
      <c r="AM39" s="3">
        <v>8.0687665812831405E-2</v>
      </c>
      <c r="AN39" s="3">
        <v>5.4577503511247724E-3</v>
      </c>
    </row>
    <row r="40" spans="1:40" x14ac:dyDescent="0.3">
      <c r="A40" s="101">
        <v>44370</v>
      </c>
      <c r="B40" s="3">
        <v>1.1426743050922328E-2</v>
      </c>
      <c r="C40" s="3">
        <v>4.5027939000936035E-3</v>
      </c>
      <c r="D40" s="3">
        <v>2.6954710960375252E-3</v>
      </c>
      <c r="E40" s="3">
        <v>4.4501637083208978E-2</v>
      </c>
      <c r="F40" s="3">
        <v>2.5191799926083416E-2</v>
      </c>
      <c r="G40" s="3">
        <v>1.8891808692430494E-2</v>
      </c>
      <c r="H40" s="3">
        <v>-3.1001674803120684E-3</v>
      </c>
      <c r="I40" s="3">
        <v>-8.524606551065534E-3</v>
      </c>
      <c r="J40" s="3">
        <v>-1.7161343717418988E-2</v>
      </c>
      <c r="K40" s="3">
        <v>1.7621145374449355E-2</v>
      </c>
      <c r="L40" s="3">
        <v>9.0591389698074509E-3</v>
      </c>
      <c r="M40" s="3">
        <v>0.16194331983805668</v>
      </c>
      <c r="N40" s="3">
        <v>-3.0685222868424788E-3</v>
      </c>
      <c r="O40" s="3">
        <v>-1.7181059499889899E-2</v>
      </c>
      <c r="P40" s="3">
        <v>-1.2911555842478742E-3</v>
      </c>
      <c r="Q40" s="3">
        <v>3.0487816057361301E-3</v>
      </c>
      <c r="R40" s="3">
        <v>-1.5124811220151217E-3</v>
      </c>
      <c r="S40" s="3">
        <v>-1.5319422832929051E-3</v>
      </c>
      <c r="T40" s="3">
        <v>3.5768132042532964E-2</v>
      </c>
      <c r="U40" s="3">
        <v>-2.3865650980761322E-2</v>
      </c>
      <c r="V40" s="3">
        <v>0</v>
      </c>
      <c r="W40" s="3">
        <v>3.5430721426685055E-3</v>
      </c>
      <c r="X40" s="3">
        <v>-4.6511048314382191E-3</v>
      </c>
      <c r="Y40" s="3">
        <v>-2.2513644940657586E-4</v>
      </c>
      <c r="Z40" s="3">
        <v>1.8423746161719521E-2</v>
      </c>
      <c r="AA40" s="3">
        <v>-3.0809580760473049E-2</v>
      </c>
      <c r="AB40" s="3">
        <v>-4.6131421479482732E-3</v>
      </c>
      <c r="AC40" s="3">
        <v>-2.4768461364592868E-2</v>
      </c>
      <c r="AD40" s="3">
        <v>2.136064216824797E-2</v>
      </c>
      <c r="AE40" s="3">
        <v>-2.6069943951585524E-2</v>
      </c>
      <c r="AF40" s="3">
        <v>3.4016375993020952E-2</v>
      </c>
      <c r="AG40" s="3">
        <v>3.2562970978835558E-2</v>
      </c>
      <c r="AH40" s="3">
        <v>-5.9880409089751157E-3</v>
      </c>
      <c r="AI40" s="3">
        <v>1.077035562752638E-2</v>
      </c>
      <c r="AJ40" s="3">
        <v>-1.5613662308534641E-2</v>
      </c>
      <c r="AK40" s="3">
        <v>-4.5801526717557293E-2</v>
      </c>
      <c r="AL40" s="3">
        <v>-1.971794257703471E-2</v>
      </c>
      <c r="AM40" s="3">
        <v>-4.2334082056168967E-2</v>
      </c>
      <c r="AN40" s="3">
        <v>-3.0000018750000024E-2</v>
      </c>
    </row>
    <row r="41" spans="1:40" x14ac:dyDescent="0.3">
      <c r="A41" s="101">
        <v>44371</v>
      </c>
      <c r="B41" s="3">
        <v>-2.564886048355319E-2</v>
      </c>
      <c r="C41" s="3">
        <v>-1.371052689741094E-2</v>
      </c>
      <c r="D41" s="3">
        <v>5.3761723308664673E-3</v>
      </c>
      <c r="E41" s="3">
        <v>6.7602219033635683E-2</v>
      </c>
      <c r="F41" s="3">
        <v>1.0352946881824887E-2</v>
      </c>
      <c r="G41" s="3">
        <v>-3.735986067191812E-2</v>
      </c>
      <c r="H41" s="3">
        <v>9.345311854605555E-3</v>
      </c>
      <c r="I41" s="3">
        <v>3.5052832079711417E-2</v>
      </c>
      <c r="J41" s="3">
        <v>-2.1480047697715266E-2</v>
      </c>
      <c r="K41" s="3">
        <v>1.731601731601733E-2</v>
      </c>
      <c r="L41" s="3">
        <v>4.4501637083208978E-2</v>
      </c>
      <c r="M41" s="3">
        <v>-0.34146341463414637</v>
      </c>
      <c r="N41" s="3">
        <v>-5.0160764755191887E-3</v>
      </c>
      <c r="O41" s="3">
        <v>-4.9287187619072408E-3</v>
      </c>
      <c r="P41" s="3">
        <v>-4.0077569489334261E-2</v>
      </c>
      <c r="Q41" s="3">
        <v>3.0395132064164562E-3</v>
      </c>
      <c r="R41" s="3">
        <v>1.0267592248587641E-2</v>
      </c>
      <c r="S41" s="3">
        <v>0</v>
      </c>
      <c r="T41" s="3">
        <v>-1.2722694287404777E-2</v>
      </c>
      <c r="U41" s="3">
        <v>-4.8418995918371026E-4</v>
      </c>
      <c r="V41" s="3">
        <v>1.1173694564999405E-3</v>
      </c>
      <c r="W41" s="3">
        <v>-6.7667585656656917E-3</v>
      </c>
      <c r="X41" s="3">
        <v>1.3629283223728965E-2</v>
      </c>
      <c r="Y41" s="3">
        <v>2.4202623112542336E-3</v>
      </c>
      <c r="Z41" s="3">
        <v>9.0452261306532521E-3</v>
      </c>
      <c r="AA41" s="3">
        <v>1.3185864161898654E-2</v>
      </c>
      <c r="AB41" s="3">
        <v>1.6548317487960391E-2</v>
      </c>
      <c r="AC41" s="3">
        <v>3.0543765690376565E-3</v>
      </c>
      <c r="AD41" s="3">
        <v>5.0350281453217967E-3</v>
      </c>
      <c r="AE41" s="3">
        <v>8.7213405168568674E-3</v>
      </c>
      <c r="AF41" s="3">
        <v>2.2775229372604171E-2</v>
      </c>
      <c r="AG41" s="3">
        <v>3.6113987792471942E-2</v>
      </c>
      <c r="AH41" s="3">
        <v>1.0709535195265577E-2</v>
      </c>
      <c r="AI41" s="3">
        <v>-4.957718818317863E-3</v>
      </c>
      <c r="AJ41" s="3">
        <v>3.1099974513865303E-3</v>
      </c>
      <c r="AK41" s="3">
        <v>5.600000000000005E-2</v>
      </c>
      <c r="AL41" s="3">
        <v>6.1137532770421058E-3</v>
      </c>
      <c r="AM41" s="3">
        <v>-1.1798192197907081E-3</v>
      </c>
      <c r="AN41" s="3">
        <v>-6.443299093620472E-3</v>
      </c>
    </row>
    <row r="42" spans="1:40" x14ac:dyDescent="0.3">
      <c r="A42" s="101">
        <v>44372</v>
      </c>
      <c r="B42" s="3">
        <v>2.2563483553378578E-2</v>
      </c>
      <c r="C42" s="3">
        <v>6.1386277984503915E-3</v>
      </c>
      <c r="D42" s="3">
        <v>-3.2085370887888438E-2</v>
      </c>
      <c r="E42" s="3">
        <v>-1.3708798391702011E-2</v>
      </c>
      <c r="F42" s="3">
        <v>1.8271648226111648E-2</v>
      </c>
      <c r="G42" s="3">
        <v>4.3122466890344567E-3</v>
      </c>
      <c r="H42" s="3">
        <v>-7.5943290429973177E-4</v>
      </c>
      <c r="I42" s="3">
        <v>-7.0286573700550393E-3</v>
      </c>
      <c r="J42" s="3">
        <v>8.49738517682877E-3</v>
      </c>
      <c r="K42" s="3">
        <v>4.2553191489360792E-3</v>
      </c>
      <c r="L42" s="3">
        <v>6.7602219033635683E-2</v>
      </c>
      <c r="M42" s="3">
        <v>1.091710758377425</v>
      </c>
      <c r="N42" s="3">
        <v>-1.1342676343014139E-2</v>
      </c>
      <c r="O42" s="3">
        <v>1.8419581038042952E-2</v>
      </c>
      <c r="P42" s="3">
        <v>1.2121212121212102E-2</v>
      </c>
      <c r="Q42" s="3">
        <v>-2.1212024845358987E-2</v>
      </c>
      <c r="R42" s="3">
        <v>0</v>
      </c>
      <c r="S42" s="3">
        <v>-1.807024702613081E-2</v>
      </c>
      <c r="T42" s="3">
        <v>-1.0309332824860346E-2</v>
      </c>
      <c r="U42" s="3">
        <v>2.6883011643414736E-2</v>
      </c>
      <c r="V42" s="3">
        <v>1.0044622893738083E-2</v>
      </c>
      <c r="W42" s="3">
        <v>-2.2511850458205845E-2</v>
      </c>
      <c r="X42" s="3">
        <v>-7.6836341205595868E-4</v>
      </c>
      <c r="Y42" s="3">
        <v>-5.7832620174083742E-3</v>
      </c>
      <c r="Z42" s="3">
        <v>1.9920318725099709E-2</v>
      </c>
      <c r="AA42" s="3">
        <v>1.9257574586899529E-2</v>
      </c>
      <c r="AB42" s="3">
        <v>6.8772546541589138E-3</v>
      </c>
      <c r="AC42" s="3">
        <v>2.2942602476829967E-3</v>
      </c>
      <c r="AD42" s="3">
        <v>2.1194565968983278E-2</v>
      </c>
      <c r="AE42" s="3">
        <v>2.5605253886636904E-2</v>
      </c>
      <c r="AF42" s="3">
        <v>2.8866153951648963E-2</v>
      </c>
      <c r="AG42" s="3">
        <v>-7.8547860650570733E-3</v>
      </c>
      <c r="AH42" s="3">
        <v>3.84105700708922E-2</v>
      </c>
      <c r="AI42" s="3">
        <v>2.8928405299812974E-2</v>
      </c>
      <c r="AJ42" s="3">
        <v>1.8396011293221194E-2</v>
      </c>
      <c r="AK42" s="3">
        <v>-3.7878787878787908E-2</v>
      </c>
      <c r="AL42" s="3">
        <v>-4.5640479891099735E-3</v>
      </c>
      <c r="AM42" s="3">
        <v>-3.0864101976984574E-3</v>
      </c>
      <c r="AN42" s="3">
        <v>-2.4361219669803161E-2</v>
      </c>
    </row>
    <row r="43" spans="1:40" x14ac:dyDescent="0.3">
      <c r="A43" s="101">
        <v>44375</v>
      </c>
      <c r="B43" s="3">
        <v>1.5936275016608329E-2</v>
      </c>
      <c r="C43" s="3">
        <v>2.9521494136969589E-3</v>
      </c>
      <c r="D43" s="3">
        <v>-1.6574626641983073E-2</v>
      </c>
      <c r="E43" s="3">
        <v>-1.186957196877492E-2</v>
      </c>
      <c r="F43" s="3">
        <v>6.6925287510723921E-2</v>
      </c>
      <c r="G43" s="3">
        <v>-7.3708169682690809E-3</v>
      </c>
      <c r="H43" s="3">
        <v>1.7326654695532008E-4</v>
      </c>
      <c r="I43" s="3">
        <v>3.2174586737358968E-3</v>
      </c>
      <c r="J43" s="3">
        <v>2.8082313685813385E-4</v>
      </c>
      <c r="K43" s="3">
        <v>-6.3559322033896956E-3</v>
      </c>
      <c r="L43" s="3">
        <v>-1.3708798391702011E-2</v>
      </c>
      <c r="M43" s="3">
        <v>-0.18802698145025296</v>
      </c>
      <c r="N43" s="3">
        <v>-1.0082320357253734E-2</v>
      </c>
      <c r="O43" s="3">
        <v>-2.3254154657851658E-2</v>
      </c>
      <c r="P43" s="3">
        <v>-1.7964071856287397E-2</v>
      </c>
      <c r="Q43" s="3">
        <v>6.1918505691780819E-3</v>
      </c>
      <c r="R43" s="3">
        <v>-2.0326614192531903E-2</v>
      </c>
      <c r="S43" s="3">
        <v>1.3194390475420769E-2</v>
      </c>
      <c r="T43" s="3">
        <v>-6.6963934998396655E-3</v>
      </c>
      <c r="U43" s="3">
        <v>2.4999915022253533E-2</v>
      </c>
      <c r="V43" s="3">
        <v>-5.5248299660369763E-3</v>
      </c>
      <c r="W43" s="3">
        <v>2.0909056844156424E-2</v>
      </c>
      <c r="X43" s="3">
        <v>3.6524221453287245E-3</v>
      </c>
      <c r="Y43" s="3">
        <v>-1.9202066220057475E-3</v>
      </c>
      <c r="Z43" s="3">
        <v>-6.8359375000000278E-3</v>
      </c>
      <c r="AA43" s="3">
        <v>-2.9346496405276971E-2</v>
      </c>
      <c r="AB43" s="3">
        <v>-1.230503679110374E-2</v>
      </c>
      <c r="AC43" s="3">
        <v>2.7051523335489625E-3</v>
      </c>
      <c r="AD43" s="3">
        <v>-2.2641967199151778E-3</v>
      </c>
      <c r="AE43" s="3">
        <v>-5.8362554902159046E-3</v>
      </c>
      <c r="AF43" s="3">
        <v>2.2044029956597353E-2</v>
      </c>
      <c r="AG43" s="3">
        <v>6.9273135540482509E-3</v>
      </c>
      <c r="AH43" s="3">
        <v>-3.3163230353816728E-2</v>
      </c>
      <c r="AI43" s="3">
        <v>-1.3876928079680788E-2</v>
      </c>
      <c r="AJ43" s="3">
        <v>-1.2989628956015868E-2</v>
      </c>
      <c r="AK43" s="3">
        <v>-7.8740157480315029E-3</v>
      </c>
      <c r="AL43" s="3">
        <v>2.8805132380289788E-3</v>
      </c>
      <c r="AM43" s="3">
        <v>7.8928351509223553E-3</v>
      </c>
      <c r="AN43" s="3">
        <v>-2.9811989813027214E-3</v>
      </c>
    </row>
    <row r="44" spans="1:40" x14ac:dyDescent="0.3">
      <c r="A44" s="101">
        <v>44376</v>
      </c>
      <c r="B44" s="3">
        <v>0.10045247142871516</v>
      </c>
      <c r="C44" s="3">
        <v>-1.4128686593446654E-2</v>
      </c>
      <c r="D44" s="3">
        <v>-3.0898905758700256E-2</v>
      </c>
      <c r="E44" s="3">
        <v>1.3530401261048665E-2</v>
      </c>
      <c r="F44" s="3">
        <v>-1.4318126494246172E-2</v>
      </c>
      <c r="G44" s="3">
        <v>-6.2721574226434641E-3</v>
      </c>
      <c r="H44" s="3">
        <v>5.8309841409829467E-3</v>
      </c>
      <c r="I44" s="3">
        <v>7.0558390611823998E-3</v>
      </c>
      <c r="J44" s="3">
        <v>2.3864669219094675E-3</v>
      </c>
      <c r="K44" s="3">
        <v>3.8379530916844283E-2</v>
      </c>
      <c r="L44" s="3">
        <v>-1.186957196877492E-2</v>
      </c>
      <c r="M44" s="3">
        <v>-0.18743509865005192</v>
      </c>
      <c r="N44" s="3">
        <v>-3.0437903621707386E-2</v>
      </c>
      <c r="O44" s="3">
        <v>7.0801159179115268E-3</v>
      </c>
      <c r="P44" s="3">
        <v>1.2195121951219494E-2</v>
      </c>
      <c r="Q44" s="3">
        <v>-3.2307692145025699E-2</v>
      </c>
      <c r="R44" s="3">
        <v>-1.3605398191261695E-2</v>
      </c>
      <c r="S44" s="3">
        <v>-1.747759439943801E-2</v>
      </c>
      <c r="T44" s="3">
        <v>7.8651910575803837E-3</v>
      </c>
      <c r="U44" s="3">
        <v>-1.5646523273961852E-2</v>
      </c>
      <c r="V44" s="3">
        <v>-1.2222208365416267E-2</v>
      </c>
      <c r="W44" s="3">
        <v>-2.4042675093662313E-2</v>
      </c>
      <c r="X44" s="3">
        <v>-4.0221988895269541E-3</v>
      </c>
      <c r="Y44" s="3">
        <v>-1.069427965131616E-2</v>
      </c>
      <c r="Z44" s="3">
        <v>-1.6715830875122902E-2</v>
      </c>
      <c r="AA44" s="3">
        <v>1.3330312755361403E-4</v>
      </c>
      <c r="AB44" s="3">
        <v>-2.0202617526986584E-3</v>
      </c>
      <c r="AC44" s="3">
        <v>4.5656665087771267E-3</v>
      </c>
      <c r="AD44" s="3">
        <v>-7.9425510325506869E-3</v>
      </c>
      <c r="AE44" s="3">
        <v>-3.2287502867229805E-2</v>
      </c>
      <c r="AF44" s="3">
        <v>-1.2156920195435706E-2</v>
      </c>
      <c r="AG44" s="3">
        <v>-1.4742063882063967E-2</v>
      </c>
      <c r="AH44" s="3">
        <v>2.5065899742550777E-2</v>
      </c>
      <c r="AI44" s="3">
        <v>-1.2458170655706791E-3</v>
      </c>
      <c r="AJ44" s="3">
        <v>-1.0075846807193837E-2</v>
      </c>
      <c r="AK44" s="3">
        <v>7.936507936507943E-3</v>
      </c>
      <c r="AL44" s="3">
        <v>-1.6140447532531203E-3</v>
      </c>
      <c r="AM44" s="3">
        <v>-6.5226917502410386E-2</v>
      </c>
      <c r="AN44" s="3">
        <v>-1.2643755213298783E-2</v>
      </c>
    </row>
    <row r="45" spans="1:40" x14ac:dyDescent="0.3">
      <c r="A45" s="101">
        <v>44377</v>
      </c>
      <c r="B45" s="3">
        <v>-4.3037412273554836E-2</v>
      </c>
      <c r="C45" s="3">
        <v>6.7675848295443335E-3</v>
      </c>
      <c r="D45" s="3">
        <v>1.1594132572752019E-2</v>
      </c>
      <c r="E45" s="3">
        <v>8.0185113366223002E-3</v>
      </c>
      <c r="F45" s="3">
        <v>1.0836983038765334E-2</v>
      </c>
      <c r="G45" s="3">
        <v>1.7484068992572998E-2</v>
      </c>
      <c r="H45" s="3">
        <v>-2.0746157067977696E-4</v>
      </c>
      <c r="I45" s="3">
        <v>2.4840812211068156E-2</v>
      </c>
      <c r="J45" s="3">
        <v>-5.1821340380448612E-3</v>
      </c>
      <c r="K45" s="3">
        <v>1.6427104722792622E-2</v>
      </c>
      <c r="L45" s="3">
        <v>1.3530401261048665E-2</v>
      </c>
      <c r="M45" s="3">
        <v>1.260702875399361</v>
      </c>
      <c r="N45" s="3">
        <v>-3.8437396868101208E-2</v>
      </c>
      <c r="O45" s="3">
        <v>-8.8071825099064679E-3</v>
      </c>
      <c r="P45" s="3">
        <v>2.141900937081662E-2</v>
      </c>
      <c r="Q45" s="3">
        <v>5.7233806399467235E-2</v>
      </c>
      <c r="R45" s="3">
        <v>0</v>
      </c>
      <c r="S45" s="3">
        <v>0</v>
      </c>
      <c r="T45" s="3">
        <v>-5.5741572852656537E-3</v>
      </c>
      <c r="U45" s="3">
        <v>-4.9789634167622637E-2</v>
      </c>
      <c r="V45" s="3">
        <v>-2.2498213413881265E-3</v>
      </c>
      <c r="W45" s="3">
        <v>1.4294282050217714E-2</v>
      </c>
      <c r="X45" s="3">
        <v>-4.423076923076863E-3</v>
      </c>
      <c r="Y45" s="3">
        <v>3.6604896742275508E-3</v>
      </c>
      <c r="Z45" s="3">
        <v>3.9999999999999151E-3</v>
      </c>
      <c r="AA45" s="3">
        <v>9.4720286639481913E-2</v>
      </c>
      <c r="AB45" s="3">
        <v>2.1074024129509955E-2</v>
      </c>
      <c r="AC45" s="3">
        <v>1.4006524042500983E-2</v>
      </c>
      <c r="AD45" s="3">
        <v>-3.8119626771519863E-4</v>
      </c>
      <c r="AE45" s="3">
        <v>1.4154799041825155E-2</v>
      </c>
      <c r="AF45" s="3">
        <v>-2.8582732674219589E-2</v>
      </c>
      <c r="AG45" s="3">
        <v>1.3965137853622767E-2</v>
      </c>
      <c r="AH45" s="3">
        <v>-3.8610149393263444E-3</v>
      </c>
      <c r="AI45" s="3">
        <v>1.8345950353591208E-2</v>
      </c>
      <c r="AJ45" s="3">
        <v>-6.543681999709494E-3</v>
      </c>
      <c r="AK45" s="3">
        <v>7.8740157480315029E-3</v>
      </c>
      <c r="AL45" s="3">
        <v>3.3103587904250553E-2</v>
      </c>
      <c r="AM45" s="3">
        <v>1.910792144075793E-2</v>
      </c>
      <c r="AN45" s="3">
        <v>7.9295201480609118E-2</v>
      </c>
    </row>
    <row r="46" spans="1:40" x14ac:dyDescent="0.3">
      <c r="A46" s="101">
        <v>44378</v>
      </c>
      <c r="B46" s="3">
        <v>1.9478749083135492E-2</v>
      </c>
      <c r="C46" s="3">
        <v>3.9532336743557843E-4</v>
      </c>
      <c r="D46" s="3">
        <v>5.7304766129160408E-3</v>
      </c>
      <c r="E46" s="3">
        <v>-1.0970527506614581E-2</v>
      </c>
      <c r="F46" s="3">
        <v>1.5396829376231987E-2</v>
      </c>
      <c r="G46" s="3">
        <v>-3.3511657754010434E-3</v>
      </c>
      <c r="H46" s="3">
        <v>8.0535283615749201E-3</v>
      </c>
      <c r="I46" s="3">
        <v>6.215017802172971E-3</v>
      </c>
      <c r="J46" s="3">
        <v>1.1264951065146495E-3</v>
      </c>
      <c r="K46" s="3">
        <v>-4.2424242424242413E-2</v>
      </c>
      <c r="L46" s="3">
        <v>8.0185113366223002E-3</v>
      </c>
      <c r="M46" s="3">
        <v>-7.1791972866025996E-2</v>
      </c>
      <c r="N46" s="3">
        <v>3.9068414219372613E-2</v>
      </c>
      <c r="O46" s="3">
        <v>-2.3382676575996577E-3</v>
      </c>
      <c r="P46" s="3">
        <v>-4.9803407601572723E-2</v>
      </c>
      <c r="Q46" s="3">
        <v>-9.0225556963379992E-3</v>
      </c>
      <c r="R46" s="3">
        <v>4.2241399766978535E-2</v>
      </c>
      <c r="S46" s="3">
        <v>-1.918388651654904E-2</v>
      </c>
      <c r="T46" s="3">
        <v>2.2421151040526847E-3</v>
      </c>
      <c r="U46" s="3">
        <v>8.3641595588183522E-3</v>
      </c>
      <c r="V46" s="3">
        <v>-1.0146542065010693E-2</v>
      </c>
      <c r="W46" s="3">
        <v>-1.0494556196254605E-3</v>
      </c>
      <c r="X46" s="3">
        <v>-3.2064883136952022E-2</v>
      </c>
      <c r="Y46" s="3">
        <v>3.1342774819758021E-3</v>
      </c>
      <c r="Z46" s="3">
        <v>1.4940239043824738E-2</v>
      </c>
      <c r="AA46" s="3">
        <v>-4.5429075001305802E-2</v>
      </c>
      <c r="AB46" s="3">
        <v>-1.3801602983594315E-2</v>
      </c>
      <c r="AC46" s="3">
        <v>-1.4953948455333264E-2</v>
      </c>
      <c r="AD46" s="3">
        <v>-1.3348383746906644E-2</v>
      </c>
      <c r="AE46" s="3">
        <v>1.9274184933409055E-2</v>
      </c>
      <c r="AF46" s="3">
        <v>2.0433496619615874E-3</v>
      </c>
      <c r="AG46" s="3">
        <v>-2.3610427939006244E-2</v>
      </c>
      <c r="AH46" s="3">
        <v>7.7519603132311394E-3</v>
      </c>
      <c r="AI46" s="3">
        <v>2.3275783048898088E-2</v>
      </c>
      <c r="AJ46" s="3">
        <v>2.8332526530461956E-2</v>
      </c>
      <c r="AK46" s="3">
        <v>-1.5625000000000014E-2</v>
      </c>
      <c r="AL46" s="3">
        <v>-4.6624554328057403E-3</v>
      </c>
      <c r="AM46" s="3">
        <v>-2.4501896662073645E-2</v>
      </c>
      <c r="AN46" s="3">
        <v>-1.8314899035137829E-2</v>
      </c>
    </row>
    <row r="47" spans="1:40" x14ac:dyDescent="0.3">
      <c r="A47" s="101">
        <v>44379</v>
      </c>
      <c r="B47" s="3">
        <v>1.4329747918483699E-2</v>
      </c>
      <c r="C47" s="3">
        <v>1.5810473171249783E-3</v>
      </c>
      <c r="D47" s="3">
        <v>1.4245299433927137E-2</v>
      </c>
      <c r="E47" s="3">
        <v>4.9052550226000424E-3</v>
      </c>
      <c r="F47" s="3">
        <v>3.6616946994011794E-2</v>
      </c>
      <c r="G47" s="3">
        <v>0.11446558960127048</v>
      </c>
      <c r="H47" s="3">
        <v>-4.1713111666078356E-3</v>
      </c>
      <c r="I47" s="3">
        <v>-9.8826332106541816E-3</v>
      </c>
      <c r="J47" s="3">
        <v>-1.3359582721359202E-2</v>
      </c>
      <c r="K47" s="3">
        <v>-4.0084388185654088E-2</v>
      </c>
      <c r="L47" s="3">
        <v>-1.0970527506614581E-2</v>
      </c>
      <c r="M47" s="3">
        <v>0.88672350791717414</v>
      </c>
      <c r="N47" s="3">
        <v>2.2161433825094702E-2</v>
      </c>
      <c r="O47" s="3">
        <v>-3.4375073163879333E-2</v>
      </c>
      <c r="P47" s="3">
        <v>6.8965517241379067E-3</v>
      </c>
      <c r="Q47" s="3">
        <v>-1.517546690094136E-3</v>
      </c>
      <c r="R47" s="3">
        <v>6.6170386307809068E-2</v>
      </c>
      <c r="S47" s="3">
        <v>0</v>
      </c>
      <c r="T47" s="3">
        <v>-5.9656744961319504E-3</v>
      </c>
      <c r="U47" s="3">
        <v>1.6345411991089107E-2</v>
      </c>
      <c r="V47" s="3">
        <v>-1.0250549686227331E-2</v>
      </c>
      <c r="W47" s="3">
        <v>-2.8365559980189213E-2</v>
      </c>
      <c r="X47" s="3">
        <v>1.1175353997698039E-2</v>
      </c>
      <c r="Y47" s="3">
        <v>-6.2489689612507896E-3</v>
      </c>
      <c r="Z47" s="3">
        <v>4.6123650637880341E-2</v>
      </c>
      <c r="AA47" s="3">
        <v>1.5283471025729583E-2</v>
      </c>
      <c r="AB47" s="3">
        <v>2.8091842596470631E-3</v>
      </c>
      <c r="AC47" s="3">
        <v>-7.7766494312306563E-3</v>
      </c>
      <c r="AD47" s="3">
        <v>3.8652971198007125E-3</v>
      </c>
      <c r="AE47" s="3">
        <v>-7.7595395946823088E-3</v>
      </c>
      <c r="AF47" s="3">
        <v>1.3866309947507297E-2</v>
      </c>
      <c r="AG47" s="3">
        <v>-1.0075566750631297E-3</v>
      </c>
      <c r="AH47" s="3">
        <v>-2.3076989036533341E-2</v>
      </c>
      <c r="AI47" s="3">
        <v>5.1408060995144066E-3</v>
      </c>
      <c r="AJ47" s="3">
        <v>5.591846008918269E-3</v>
      </c>
      <c r="AK47" s="3">
        <v>-7.936507936507943E-3</v>
      </c>
      <c r="AL47" s="3">
        <v>6.461698552680209E-3</v>
      </c>
      <c r="AM47" s="3">
        <v>-5.7130992975346355E-4</v>
      </c>
      <c r="AN47" s="3">
        <v>-1.2229627847342705E-2</v>
      </c>
    </row>
    <row r="48" spans="1:40" x14ac:dyDescent="0.3">
      <c r="A48" s="101">
        <v>44382</v>
      </c>
      <c r="B48" s="3">
        <v>-1.1634134689942581E-2</v>
      </c>
      <c r="C48" s="3">
        <v>-1.0852320520933378E-2</v>
      </c>
      <c r="D48" s="3">
        <v>-2.2472063406545881E-2</v>
      </c>
      <c r="E48" s="3">
        <v>4.7803440274197091E-2</v>
      </c>
      <c r="F48" s="3">
        <v>-9.1018864508701381E-3</v>
      </c>
      <c r="G48" s="3">
        <v>-2.7025240897581463E-2</v>
      </c>
      <c r="H48" s="3">
        <v>-1.2792561593454623E-3</v>
      </c>
      <c r="I48" s="3">
        <v>-7.4860517284352579E-3</v>
      </c>
      <c r="J48" s="3">
        <v>1.5677849473108825E-3</v>
      </c>
      <c r="K48" s="3">
        <v>4.3956043956044971E-3</v>
      </c>
      <c r="L48" s="3">
        <v>4.9052550226000424E-3</v>
      </c>
      <c r="M48" s="3">
        <v>-0.46207230471271787</v>
      </c>
      <c r="N48" s="3">
        <v>1.1936587980919025E-2</v>
      </c>
      <c r="O48" s="3">
        <v>-1.6585649174178825E-2</v>
      </c>
      <c r="P48" s="3">
        <v>2.0547945205479503E-2</v>
      </c>
      <c r="Q48" s="3">
        <v>3.3434746553188253E-2</v>
      </c>
      <c r="R48" s="3">
        <v>-7.2148924106842399E-2</v>
      </c>
      <c r="S48" s="3">
        <v>3.4854162025376639E-2</v>
      </c>
      <c r="T48" s="3">
        <v>1.3128371101565057E-2</v>
      </c>
      <c r="U48" s="3">
        <v>9.3614484989668449E-3</v>
      </c>
      <c r="V48" s="3">
        <v>-1.0356810275108286E-2</v>
      </c>
      <c r="W48" s="3">
        <v>9.8856385498015814E-3</v>
      </c>
      <c r="X48" s="3">
        <v>-3.3550030927571705E-3</v>
      </c>
      <c r="Y48" s="3">
        <v>4.1159379683962851E-3</v>
      </c>
      <c r="Z48" s="3">
        <v>-6.5666041275797638E-3</v>
      </c>
      <c r="AA48" s="3">
        <v>-4.977615161570681E-2</v>
      </c>
      <c r="AB48" s="3">
        <v>-4.551626695969696E-2</v>
      </c>
      <c r="AC48" s="3">
        <v>-3.0308038318840092E-2</v>
      </c>
      <c r="AD48" s="3">
        <v>-3.4655661242897059E-3</v>
      </c>
      <c r="AE48" s="3">
        <v>-1.3208871830306564E-2</v>
      </c>
      <c r="AF48" s="3">
        <v>1.0860546083274391E-2</v>
      </c>
      <c r="AG48" s="3">
        <v>-2.0170953101360627E-3</v>
      </c>
      <c r="AH48" s="3">
        <v>7.874038785572338E-3</v>
      </c>
      <c r="AI48" s="3">
        <v>-1.99677006800522E-2</v>
      </c>
      <c r="AJ48" s="3">
        <v>-6.1672586424130534E-3</v>
      </c>
      <c r="AK48" s="3">
        <v>8.0000000000000071E-3</v>
      </c>
      <c r="AL48" s="3">
        <v>-3.3669363527979085E-2</v>
      </c>
      <c r="AM48" s="3">
        <v>-2.4988811859618383E-2</v>
      </c>
      <c r="AN48" s="3">
        <v>-3.6568803846362061E-2</v>
      </c>
    </row>
    <row r="49" spans="1:40" x14ac:dyDescent="0.3">
      <c r="A49" s="101">
        <v>44383</v>
      </c>
      <c r="B49" s="3">
        <v>-2.0459711251673656E-2</v>
      </c>
      <c r="C49" s="3">
        <v>2.7727834102065002E-2</v>
      </c>
      <c r="D49" s="3">
        <v>-4.0229794606074662E-2</v>
      </c>
      <c r="E49" s="3">
        <v>8.1843798253422115E-3</v>
      </c>
      <c r="F49" s="3">
        <v>8.2012512440037093E-3</v>
      </c>
      <c r="G49" s="3">
        <v>-4.4401997025704368E-2</v>
      </c>
      <c r="H49" s="3">
        <v>2.9601165301812249E-3</v>
      </c>
      <c r="I49" s="3">
        <v>6.2854616864879646E-3</v>
      </c>
      <c r="J49" s="3">
        <v>-2.4761657545044988E-2</v>
      </c>
      <c r="K49" s="3">
        <v>-1.9693654266958391E-2</v>
      </c>
      <c r="L49" s="3">
        <v>4.7803440274197091E-2</v>
      </c>
      <c r="M49" s="3">
        <v>-0.26252625262526252</v>
      </c>
      <c r="N49" s="3">
        <v>3.3702457914794044E-2</v>
      </c>
      <c r="O49" s="3">
        <v>1.1270921566134887E-2</v>
      </c>
      <c r="P49" s="3">
        <v>-1.2080536912751658E-2</v>
      </c>
      <c r="Q49" s="3">
        <v>-7.3529408837143149E-3</v>
      </c>
      <c r="R49" s="3">
        <v>3.0936418017237399E-2</v>
      </c>
      <c r="S49" s="3">
        <v>0</v>
      </c>
      <c r="T49" s="3">
        <v>1.4809271775726515E-2</v>
      </c>
      <c r="U49" s="3">
        <v>6.8965745111340578E-3</v>
      </c>
      <c r="V49" s="3">
        <v>1.9767548785368617E-2</v>
      </c>
      <c r="W49" s="3">
        <v>-3.9461551256758043E-2</v>
      </c>
      <c r="X49" s="3">
        <v>-2.7920792079207852E-2</v>
      </c>
      <c r="Y49" s="3">
        <v>-8.0842473584143287E-3</v>
      </c>
      <c r="Z49" s="3">
        <v>-2.7384324834749684E-2</v>
      </c>
      <c r="AA49" s="3">
        <v>-6.3493393018610927E-2</v>
      </c>
      <c r="AB49" s="3">
        <v>-2.4773412187111248E-3</v>
      </c>
      <c r="AC49" s="3">
        <v>-8.1255328944403269E-3</v>
      </c>
      <c r="AD49" s="3">
        <v>-5.7960163010944993E-3</v>
      </c>
      <c r="AE49" s="3">
        <v>6.7261186274342813E-3</v>
      </c>
      <c r="AF49" s="3">
        <v>-1.5121168029920754E-2</v>
      </c>
      <c r="AG49" s="3">
        <v>-6.0637187436220173E-3</v>
      </c>
      <c r="AH49" s="3">
        <v>-1.5625045357969696E-2</v>
      </c>
      <c r="AI49" s="3">
        <v>-4.5038835239714567E-3</v>
      </c>
      <c r="AJ49" s="3">
        <v>1.3223585927018145E-3</v>
      </c>
      <c r="AK49" s="3">
        <v>-7.936507936507943E-3</v>
      </c>
      <c r="AL49" s="3">
        <v>-2.5137101174539877E-3</v>
      </c>
      <c r="AM49" s="3">
        <v>6.0095168937638046E-3</v>
      </c>
      <c r="AN49" s="3">
        <v>7.4868795599396104E-3</v>
      </c>
    </row>
    <row r="50" spans="1:40" x14ac:dyDescent="0.3">
      <c r="A50" s="101">
        <v>44384</v>
      </c>
      <c r="B50" s="3">
        <v>-2.2890936848626205E-3</v>
      </c>
      <c r="C50" s="3">
        <v>1.8827640591319604E-2</v>
      </c>
      <c r="D50" s="3">
        <v>-2.4257020458198688E-3</v>
      </c>
      <c r="E50" s="3">
        <v>2.8225250314238504E-2</v>
      </c>
      <c r="F50" s="3">
        <v>-3.2537937761770906E-2</v>
      </c>
      <c r="G50" s="3">
        <v>3.2449738537689119E-3</v>
      </c>
      <c r="H50" s="3">
        <v>8.3246050874316111E-3</v>
      </c>
      <c r="I50" s="3">
        <v>1.5615215614345366E-2</v>
      </c>
      <c r="J50" s="3">
        <v>1.3862526685970237E-2</v>
      </c>
      <c r="K50" s="3">
        <v>2.2321428571428093E-3</v>
      </c>
      <c r="L50" s="3">
        <v>8.1843798253422115E-3</v>
      </c>
      <c r="M50" s="3">
        <v>-3.9056143205858422E-2</v>
      </c>
      <c r="N50" s="3">
        <v>-1.0479643004301209E-3</v>
      </c>
      <c r="O50" s="3">
        <v>6.3457399619938713E-3</v>
      </c>
      <c r="P50" s="3">
        <v>-2.8532608695652169E-2</v>
      </c>
      <c r="Q50" s="3">
        <v>7.9999992471702003E-2</v>
      </c>
      <c r="R50" s="3">
        <v>-2.9034865210924313E-2</v>
      </c>
      <c r="S50" s="3">
        <v>-2.3027430120339493E-2</v>
      </c>
      <c r="T50" s="3">
        <v>-1.4228370866850408E-2</v>
      </c>
      <c r="U50" s="3">
        <v>-1.2990095062616197E-2</v>
      </c>
      <c r="V50" s="3">
        <v>2.2805080537655503E-3</v>
      </c>
      <c r="W50" s="3">
        <v>6.366242649367386E-2</v>
      </c>
      <c r="X50" s="3">
        <v>-8.963088205337191E-3</v>
      </c>
      <c r="Y50" s="3">
        <v>2.0432744543023521E-2</v>
      </c>
      <c r="Z50" s="3">
        <v>4.2718446601941698E-2</v>
      </c>
      <c r="AA50" s="3">
        <v>8.6520804211288646E-2</v>
      </c>
      <c r="AB50" s="3">
        <v>2.3700245349243775E-2</v>
      </c>
      <c r="AC50" s="3">
        <v>1.209307318862857E-2</v>
      </c>
      <c r="AD50" s="3">
        <v>1.5157586851265999E-2</v>
      </c>
      <c r="AE50" s="3">
        <v>3.175235207716285E-2</v>
      </c>
      <c r="AF50" s="3">
        <v>3.2321959439059298E-3</v>
      </c>
      <c r="AG50" s="3">
        <v>7.1173868835790301E-3</v>
      </c>
      <c r="AH50" s="3">
        <v>1.3227686280208029E-2</v>
      </c>
      <c r="AI50" s="3">
        <v>1.2351977445096666E-2</v>
      </c>
      <c r="AJ50" s="3">
        <v>-1.2394513012152254E-2</v>
      </c>
      <c r="AK50" s="3">
        <v>2.4000000000000021E-2</v>
      </c>
      <c r="AL50" s="3">
        <v>1.2124111520808355E-2</v>
      </c>
      <c r="AM50" s="3">
        <v>3.1636968717569679E-2</v>
      </c>
      <c r="AN50" s="3">
        <v>1.5387645769069891E-2</v>
      </c>
    </row>
    <row r="51" spans="1:40" x14ac:dyDescent="0.3">
      <c r="A51" s="101">
        <v>44385</v>
      </c>
      <c r="B51" s="3">
        <v>3.7824092463571162E-3</v>
      </c>
      <c r="C51" s="3">
        <v>-2.4766472747080872E-3</v>
      </c>
      <c r="D51" s="3">
        <v>1.5197502399034286E-2</v>
      </c>
      <c r="E51" s="3">
        <v>-1.3279856458524888E-2</v>
      </c>
      <c r="F51" s="3">
        <v>1.3452904818845788E-2</v>
      </c>
      <c r="G51" s="3">
        <v>-1.9956919963621993E-3</v>
      </c>
      <c r="H51" s="3">
        <v>8.2365706827511979E-3</v>
      </c>
      <c r="I51" s="3">
        <v>2.4599274956799894E-3</v>
      </c>
      <c r="J51" s="3">
        <v>5.7575213853757671E-4</v>
      </c>
      <c r="K51" s="3">
        <v>0</v>
      </c>
      <c r="L51" s="3">
        <v>2.8225250314238504E-2</v>
      </c>
      <c r="M51" s="3">
        <v>0.11727349703640982</v>
      </c>
      <c r="N51" s="3">
        <v>1.2938475409131912E-2</v>
      </c>
      <c r="O51" s="3">
        <v>8.3265515836446688E-3</v>
      </c>
      <c r="P51" s="3">
        <v>1.6783216783216672E-2</v>
      </c>
      <c r="Q51" s="3">
        <v>1.3717333537165843E-2</v>
      </c>
      <c r="R51" s="3">
        <v>0.15436007084862488</v>
      </c>
      <c r="S51" s="3">
        <v>0</v>
      </c>
      <c r="T51" s="3">
        <v>-3.219840316862338E-2</v>
      </c>
      <c r="U51" s="3">
        <v>-1.4836097305386264E-2</v>
      </c>
      <c r="V51" s="3">
        <v>-3.4130274948777307E-3</v>
      </c>
      <c r="W51" s="3">
        <v>2.9821260565557124E-2</v>
      </c>
      <c r="X51" s="3">
        <v>2.1582712370700408E-2</v>
      </c>
      <c r="Y51" s="3">
        <v>6.2433266421242431E-3</v>
      </c>
      <c r="Z51" s="3">
        <v>-3.7243947858473857E-3</v>
      </c>
      <c r="AA51" s="3">
        <v>-4.0991114974582216E-2</v>
      </c>
      <c r="AB51" s="3">
        <v>-1.6427547674955387E-2</v>
      </c>
      <c r="AC51" s="3">
        <v>-1.4475396145610327E-2</v>
      </c>
      <c r="AD51" s="3">
        <v>-1.1868484349345565E-2</v>
      </c>
      <c r="AE51" s="3">
        <v>-4.6290959503167514E-2</v>
      </c>
      <c r="AF51" s="3">
        <v>-1.2484781489465394E-2</v>
      </c>
      <c r="AG51" s="3">
        <v>-7.3700104679460088E-2</v>
      </c>
      <c r="AH51" s="3">
        <v>4.8302741667501245E-2</v>
      </c>
      <c r="AI51" s="3">
        <v>-9.718445934019675E-3</v>
      </c>
      <c r="AJ51" s="3">
        <v>-9.6697982775200454E-3</v>
      </c>
      <c r="AK51" s="3">
        <v>7.8125000000000069E-3</v>
      </c>
      <c r="AL51" s="3">
        <v>-1.9513840817831883E-2</v>
      </c>
      <c r="AM51" s="3">
        <v>-1.4405294232687856E-2</v>
      </c>
      <c r="AN51" s="3">
        <v>-1.7962778571198559E-2</v>
      </c>
    </row>
    <row r="52" spans="1:40" x14ac:dyDescent="0.3">
      <c r="A52" s="101">
        <v>44386</v>
      </c>
      <c r="B52" s="3">
        <v>5.3043548037602056E-2</v>
      </c>
      <c r="C52" s="3">
        <v>1.4132855211105119E-2</v>
      </c>
      <c r="D52" s="3">
        <v>1.19759966809381E-2</v>
      </c>
      <c r="E52" s="3">
        <v>2.0518110198607198E-4</v>
      </c>
      <c r="F52" s="3">
        <v>1.3274326678470432E-2</v>
      </c>
      <c r="G52" s="3">
        <v>2.3858722276686738E-2</v>
      </c>
      <c r="H52" s="3">
        <v>9.7816928379930654E-3</v>
      </c>
      <c r="I52" s="3">
        <v>-6.1348220302011886E-3</v>
      </c>
      <c r="J52" s="3">
        <v>-2.4165843063225438E-2</v>
      </c>
      <c r="K52" s="3">
        <v>-8.9086859688196074E-3</v>
      </c>
      <c r="L52" s="3">
        <v>-1.3279856458524888E-2</v>
      </c>
      <c r="M52" s="3">
        <v>-0.2898825312618416</v>
      </c>
      <c r="N52" s="3">
        <v>1.5420082469957635E-2</v>
      </c>
      <c r="O52" s="3">
        <v>-1.146481977427391E-2</v>
      </c>
      <c r="P52" s="3">
        <v>2.4071526822558559E-2</v>
      </c>
      <c r="Q52" s="3">
        <v>-6.7658142710369613E-3</v>
      </c>
      <c r="R52" s="3">
        <v>5.4992837999420154E-2</v>
      </c>
      <c r="S52" s="3">
        <v>4.5727270224049212E-3</v>
      </c>
      <c r="T52" s="3">
        <v>6.8833681239525756E-3</v>
      </c>
      <c r="U52" s="3">
        <v>4.2992464862164965E-2</v>
      </c>
      <c r="V52" s="3">
        <v>6.8493344896313358E-3</v>
      </c>
      <c r="W52" s="3">
        <v>-2.3113807809912183E-2</v>
      </c>
      <c r="X52" s="3">
        <v>-5.0301809853082295E-3</v>
      </c>
      <c r="Y52" s="3">
        <v>1.5651146416472417E-3</v>
      </c>
      <c r="Z52" s="3">
        <v>-1.3084112149532598E-2</v>
      </c>
      <c r="AA52" s="3">
        <v>1.532006583464543E-2</v>
      </c>
      <c r="AB52" s="3">
        <v>1.9168260254390487E-2</v>
      </c>
      <c r="AC52" s="3">
        <v>1.3775413127399126E-2</v>
      </c>
      <c r="AD52" s="3">
        <v>-3.8735797719564538E-4</v>
      </c>
      <c r="AE52" s="3">
        <v>1.8958030252100865E-2</v>
      </c>
      <c r="AF52" s="3">
        <v>3.1402881590376283E-2</v>
      </c>
      <c r="AG52" s="3">
        <v>-5.1771117166212688E-2</v>
      </c>
      <c r="AH52" s="3">
        <v>1.4944003525500498E-2</v>
      </c>
      <c r="AI52" s="3">
        <v>2.7435503853831106E-2</v>
      </c>
      <c r="AJ52" s="3">
        <v>7.2711460108942231E-3</v>
      </c>
      <c r="AK52" s="3">
        <v>7.7519379844961309E-3</v>
      </c>
      <c r="AL52" s="3">
        <v>1.4450058372103922E-2</v>
      </c>
      <c r="AM52" s="3">
        <v>-8.2495730230789585E-3</v>
      </c>
      <c r="AN52" s="3">
        <v>1.1065469833834057E-2</v>
      </c>
    </row>
    <row r="53" spans="1:40" x14ac:dyDescent="0.3">
      <c r="A53" s="101">
        <v>44389</v>
      </c>
      <c r="B53" s="3">
        <v>2.1469946794969313E-2</v>
      </c>
      <c r="C53" s="3">
        <v>3.5781680936494138E-3</v>
      </c>
      <c r="D53" s="3">
        <v>1.7751706157503225E-2</v>
      </c>
      <c r="E53" s="3">
        <v>9.8457247273736077E-3</v>
      </c>
      <c r="F53" s="3">
        <v>1.8122393891996155E-2</v>
      </c>
      <c r="G53" s="3">
        <v>-2.963382353539329E-3</v>
      </c>
      <c r="H53" s="3">
        <v>-4.816919144030913E-4</v>
      </c>
      <c r="I53" s="3">
        <v>-1.8518577073099174E-2</v>
      </c>
      <c r="J53" s="3">
        <v>1.4150933734801467E-2</v>
      </c>
      <c r="K53" s="3">
        <v>0</v>
      </c>
      <c r="L53" s="3">
        <v>2.0518110198607198E-4</v>
      </c>
      <c r="M53" s="3">
        <v>-0.49946638207043759</v>
      </c>
      <c r="N53" s="3">
        <v>4.1931115636780453E-2</v>
      </c>
      <c r="O53" s="3">
        <v>-7.0869593962030707E-3</v>
      </c>
      <c r="P53" s="3">
        <v>3.8280725319006059E-2</v>
      </c>
      <c r="Q53" s="3">
        <v>-1.4986375244809624E-2</v>
      </c>
      <c r="R53" s="3">
        <v>1.5637875870227771E-2</v>
      </c>
      <c r="S53" s="3">
        <v>0</v>
      </c>
      <c r="T53" s="3">
        <v>2.6585200750482282E-3</v>
      </c>
      <c r="U53" s="3">
        <v>1.863144187656731E-3</v>
      </c>
      <c r="V53" s="3">
        <v>-1.247173902749826E-2</v>
      </c>
      <c r="W53" s="3">
        <v>1.4285798170155427E-2</v>
      </c>
      <c r="X53" s="3">
        <v>-1.0111021029099612E-3</v>
      </c>
      <c r="Y53" s="3">
        <v>4.5764428621224689E-3</v>
      </c>
      <c r="Z53" s="3">
        <v>-4.7348484848485518E-3</v>
      </c>
      <c r="AA53" s="3">
        <v>-7.7512591320933995E-3</v>
      </c>
      <c r="AB53" s="3">
        <v>1.2100191377330056E-2</v>
      </c>
      <c r="AC53" s="3">
        <v>5.1867076870287798E-3</v>
      </c>
      <c r="AD53" s="3">
        <v>-1.8992162519605248E-2</v>
      </c>
      <c r="AE53" s="3">
        <v>-8.0490924566625922E-3</v>
      </c>
      <c r="AF53" s="3">
        <v>2.0561370005232459E-2</v>
      </c>
      <c r="AG53" s="3">
        <v>-1.6091896551724147E-2</v>
      </c>
      <c r="AH53" s="3">
        <v>-4.2944783750416632E-2</v>
      </c>
      <c r="AI53" s="3">
        <v>-2.5657174757706892E-2</v>
      </c>
      <c r="AJ53" s="3">
        <v>-1.5468998767645987E-3</v>
      </c>
      <c r="AK53" s="3">
        <v>5.3846153846153891E-2</v>
      </c>
      <c r="AL53" s="3">
        <v>6.1957663157058192E-3</v>
      </c>
      <c r="AM53" s="3">
        <v>2.7245231382724568E-3</v>
      </c>
      <c r="AN53" s="3">
        <v>6.0490320656005642E-3</v>
      </c>
    </row>
    <row r="54" spans="1:40" x14ac:dyDescent="0.3">
      <c r="A54" s="101">
        <v>44390</v>
      </c>
      <c r="B54" s="3">
        <v>-1.3473499383491487E-2</v>
      </c>
      <c r="C54" s="3">
        <v>6.9431826715990385E-3</v>
      </c>
      <c r="D54" s="3">
        <v>-1.1627855239134757E-2</v>
      </c>
      <c r="E54" s="3">
        <v>-3.359606825808182E-2</v>
      </c>
      <c r="F54" s="3">
        <v>1.7692299541112642E-2</v>
      </c>
      <c r="G54" s="3">
        <v>2.776277488745884E-2</v>
      </c>
      <c r="H54" s="3">
        <v>6.3750583431691939E-4</v>
      </c>
      <c r="I54" s="3">
        <v>6.2885767294955125E-4</v>
      </c>
      <c r="J54" s="3">
        <v>8.2850622254079468E-3</v>
      </c>
      <c r="K54" s="3">
        <v>7.6404494382022431E-2</v>
      </c>
      <c r="L54" s="3">
        <v>9.8457247273736077E-3</v>
      </c>
      <c r="M54" s="3">
        <v>9.8081023454157784E-2</v>
      </c>
      <c r="N54" s="3">
        <v>-2.0556905483293381E-2</v>
      </c>
      <c r="O54" s="3">
        <v>8.6144042516200555E-3</v>
      </c>
      <c r="P54" s="3">
        <v>-5.4980595084088056E-2</v>
      </c>
      <c r="Q54" s="3">
        <v>1.106491926264486E-2</v>
      </c>
      <c r="R54" s="3">
        <v>-1.9448950160607072E-2</v>
      </c>
      <c r="S54" s="3">
        <v>3.0812405377130501E-2</v>
      </c>
      <c r="T54" s="3">
        <v>1.2878806822867895E-2</v>
      </c>
      <c r="U54" s="3">
        <v>1.6503834660720702E-2</v>
      </c>
      <c r="V54" s="3">
        <v>-1.4925268892896458E-2</v>
      </c>
      <c r="W54" s="3">
        <v>-2.1566936383505764E-2</v>
      </c>
      <c r="X54" s="3">
        <v>7.6922466521356803E-3</v>
      </c>
      <c r="Y54" s="3">
        <v>-5.9444833333333552E-3</v>
      </c>
      <c r="Z54" s="3">
        <v>-2.3786869647954331E-2</v>
      </c>
      <c r="AA54" s="3">
        <v>-3.8138041264142851E-2</v>
      </c>
      <c r="AB54" s="3">
        <v>0.10468879128636635</v>
      </c>
      <c r="AC54" s="3">
        <v>8.1748392324093783E-2</v>
      </c>
      <c r="AD54" s="3">
        <v>-3.7929717660826985E-2</v>
      </c>
      <c r="AE54" s="3">
        <v>3.0196161082959857E-2</v>
      </c>
      <c r="AF54" s="3">
        <v>1.0073897699775241E-2</v>
      </c>
      <c r="AG54" s="3">
        <v>-5.5490709375542492E-2</v>
      </c>
      <c r="AH54" s="3">
        <v>6.4102747323709498E-4</v>
      </c>
      <c r="AI54" s="3">
        <v>-1.6958791438462236E-2</v>
      </c>
      <c r="AJ54" s="3">
        <v>8.159527869366431E-3</v>
      </c>
      <c r="AK54" s="3">
        <v>7.2992700729925444E-3</v>
      </c>
      <c r="AL54" s="3">
        <v>-3.1662789339180757E-2</v>
      </c>
      <c r="AM54" s="3">
        <v>6.340092787322173E-3</v>
      </c>
      <c r="AN54" s="3">
        <v>3.6960825601038964E-2</v>
      </c>
    </row>
    <row r="55" spans="1:40" x14ac:dyDescent="0.3">
      <c r="A55" s="101">
        <v>44391</v>
      </c>
      <c r="B55" s="3">
        <v>-2.5676203144809957E-2</v>
      </c>
      <c r="C55" s="3">
        <v>-8.9451710594376441E-3</v>
      </c>
      <c r="D55" s="3">
        <v>-1.1764953038926974E-2</v>
      </c>
      <c r="E55" s="3">
        <v>-1.6688426720452097E-2</v>
      </c>
      <c r="F55" s="3">
        <v>-8.7449794731882559E-3</v>
      </c>
      <c r="G55" s="3">
        <v>2.5435492294531459E-2</v>
      </c>
      <c r="H55" s="3">
        <v>-6.4961413754528186E-3</v>
      </c>
      <c r="I55" s="3">
        <v>3.771225498576464E-3</v>
      </c>
      <c r="J55" s="3">
        <v>1.4412832975262566E-4</v>
      </c>
      <c r="K55" s="3">
        <v>2.087682672233776E-3</v>
      </c>
      <c r="L55" s="3">
        <v>-3.359606825808182E-2</v>
      </c>
      <c r="M55" s="3">
        <v>7.0873786407766995E-2</v>
      </c>
      <c r="N55" s="3">
        <v>2.054416467269303E-2</v>
      </c>
      <c r="O55" s="3">
        <v>5.9377875711893111E-3</v>
      </c>
      <c r="P55" s="3">
        <v>-6.1601642710472186E-3</v>
      </c>
      <c r="Q55" s="3">
        <v>-1.7783857816829833E-2</v>
      </c>
      <c r="R55" s="3">
        <v>4.9724408618681132E-2</v>
      </c>
      <c r="S55" s="3">
        <v>0</v>
      </c>
      <c r="T55" s="3">
        <v>1.3089094150484063E-2</v>
      </c>
      <c r="U55" s="3">
        <v>-5.488172893521711E-3</v>
      </c>
      <c r="V55" s="3">
        <v>1.5151407727332809E-2</v>
      </c>
      <c r="W55" s="3">
        <v>-1.2775609577039706E-2</v>
      </c>
      <c r="X55" s="3">
        <v>-1.6070309684015109E-3</v>
      </c>
      <c r="Y55" s="3">
        <v>-4.4709552970249363E-3</v>
      </c>
      <c r="Z55" s="3">
        <v>1.0721247563352772E-2</v>
      </c>
      <c r="AA55" s="3">
        <v>3.7909889355346019E-2</v>
      </c>
      <c r="AB55" s="3">
        <v>2.519750157620913E-2</v>
      </c>
      <c r="AC55" s="3">
        <v>-6.7410060846060408E-3</v>
      </c>
      <c r="AD55" s="3">
        <v>2.9979354079964448E-2</v>
      </c>
      <c r="AE55" s="3">
        <v>4.4741481339928314E-2</v>
      </c>
      <c r="AF55" s="3">
        <v>-1.3809101593999361E-2</v>
      </c>
      <c r="AG55" s="3">
        <v>3.4013543599257859E-2</v>
      </c>
      <c r="AH55" s="3">
        <v>-7.0467850228098511E-3</v>
      </c>
      <c r="AI55" s="3">
        <v>2.0963819269521275E-2</v>
      </c>
      <c r="AJ55" s="3">
        <v>7.3762941025370581E-3</v>
      </c>
      <c r="AK55" s="3">
        <v>0.11594202898550736</v>
      </c>
      <c r="AL55" s="3">
        <v>-5.7385092353735012E-3</v>
      </c>
      <c r="AM55" s="3">
        <v>1.9923068852038723E-2</v>
      </c>
      <c r="AN55" s="3">
        <v>-1.6680966796553263E-2</v>
      </c>
    </row>
    <row r="56" spans="1:40" x14ac:dyDescent="0.3">
      <c r="A56" s="101">
        <v>44392</v>
      </c>
      <c r="B56" s="3">
        <v>-1.9623428645427401E-3</v>
      </c>
      <c r="C56" s="3">
        <v>-1.880491032106905E-3</v>
      </c>
      <c r="D56" s="3">
        <v>1.4880889111866E-2</v>
      </c>
      <c r="E56" s="3">
        <v>1.0602005804834938E-2</v>
      </c>
      <c r="F56" s="3">
        <v>-1.8176016039305968E-2</v>
      </c>
      <c r="G56" s="3">
        <v>-1.3331636627826311E-2</v>
      </c>
      <c r="H56" s="3">
        <v>1.1680191768900392E-3</v>
      </c>
      <c r="I56" s="3">
        <v>2.6925498821826214E-2</v>
      </c>
      <c r="J56" s="3">
        <v>-9.3687362123560085E-3</v>
      </c>
      <c r="K56" s="3">
        <v>1.4583333333333393E-2</v>
      </c>
      <c r="L56" s="3">
        <v>-1.6688426720452097E-2</v>
      </c>
      <c r="M56" s="3">
        <v>1.2710788757932909</v>
      </c>
      <c r="N56" s="3">
        <v>3.1555895048296992E-3</v>
      </c>
      <c r="O56" s="3">
        <v>8.894635950972852E-4</v>
      </c>
      <c r="P56" s="3">
        <v>-2.2727272727272731E-2</v>
      </c>
      <c r="Q56" s="3">
        <v>-1.392670426337034E-3</v>
      </c>
      <c r="R56" s="3">
        <v>8.0698262225111339E-2</v>
      </c>
      <c r="S56" s="3">
        <v>6.1140740846077424E-3</v>
      </c>
      <c r="T56" s="3">
        <v>2.2886593982450489E-2</v>
      </c>
      <c r="U56" s="3">
        <v>3.6790037611054788E-2</v>
      </c>
      <c r="V56" s="3">
        <v>0</v>
      </c>
      <c r="W56" s="3">
        <v>-3.3688697748713047E-2</v>
      </c>
      <c r="X56" s="3">
        <v>-7.0423137416033644E-3</v>
      </c>
      <c r="Y56" s="3">
        <v>-1.0273406773889706E-2</v>
      </c>
      <c r="Z56" s="3">
        <v>-3.2786885245901627E-2</v>
      </c>
      <c r="AA56" s="3">
        <v>1.3467777777777608E-3</v>
      </c>
      <c r="AB56" s="3">
        <v>6.6782467997738553E-3</v>
      </c>
      <c r="AC56" s="3">
        <v>-8.4537424227011659E-3</v>
      </c>
      <c r="AD56" s="3">
        <v>3.5087734997304422E-2</v>
      </c>
      <c r="AE56" s="3">
        <v>2.8550208874975443E-2</v>
      </c>
      <c r="AF56" s="3">
        <v>3.2672059373266643E-2</v>
      </c>
      <c r="AG56" s="3">
        <v>7.775179890860043E-3</v>
      </c>
      <c r="AH56" s="3">
        <v>-1.6774241802544491E-2</v>
      </c>
      <c r="AI56" s="3">
        <v>-1.2833849043506196E-3</v>
      </c>
      <c r="AJ56" s="3">
        <v>-1.0169909639637143E-2</v>
      </c>
      <c r="AK56" s="3">
        <v>-3.2467532467532492E-2</v>
      </c>
      <c r="AL56" s="3">
        <v>-6.4296106925505444E-3</v>
      </c>
      <c r="AM56" s="3">
        <v>2.210103908889572E-2</v>
      </c>
      <c r="AN56" s="3">
        <v>8.6571184541500215E-3</v>
      </c>
    </row>
    <row r="57" spans="1:40" x14ac:dyDescent="0.3">
      <c r="A57" s="101">
        <v>44393</v>
      </c>
      <c r="B57" s="3">
        <v>3.9325946761320618E-2</v>
      </c>
      <c r="C57" s="3">
        <v>-1.5071017431152467E-3</v>
      </c>
      <c r="D57" s="3">
        <v>2.9325390341892917E-3</v>
      </c>
      <c r="E57" s="3">
        <v>7.0643410412562953E-3</v>
      </c>
      <c r="F57" s="3">
        <v>1.2990367879944498E-3</v>
      </c>
      <c r="G57" s="3">
        <v>-3.2220384146805413E-2</v>
      </c>
      <c r="H57" s="3">
        <v>-2.7755749405232919E-3</v>
      </c>
      <c r="I57" s="3">
        <v>4.2683586930522014E-3</v>
      </c>
      <c r="J57" s="3">
        <v>-6.2561935591794477E-3</v>
      </c>
      <c r="K57" s="3">
        <v>-4.1067761806982466E-3</v>
      </c>
      <c r="L57" s="3">
        <v>1.0602005804834938E-2</v>
      </c>
      <c r="M57" s="3">
        <v>0.44590818363273454</v>
      </c>
      <c r="N57" s="3">
        <v>-6.508803078969414E-4</v>
      </c>
      <c r="O57" s="3">
        <v>-5.655040614249543E-4</v>
      </c>
      <c r="P57" s="3">
        <v>2.0436927413671667E-2</v>
      </c>
      <c r="Q57" s="3">
        <v>-2.2315111132518956E-2</v>
      </c>
      <c r="R57" s="3">
        <v>-1.408470020781737E-2</v>
      </c>
      <c r="S57" s="3">
        <v>0</v>
      </c>
      <c r="T57" s="3">
        <v>3.0313942353667779E-2</v>
      </c>
      <c r="U57" s="3">
        <v>-7.3187091908125286E-3</v>
      </c>
      <c r="V57" s="3">
        <v>3.4443760500998165E-3</v>
      </c>
      <c r="W57" s="3">
        <v>1.6975705462994869E-2</v>
      </c>
      <c r="X57" s="3">
        <v>0</v>
      </c>
      <c r="Y57" s="3">
        <v>1.0323266982587544E-2</v>
      </c>
      <c r="Z57" s="3">
        <v>0</v>
      </c>
      <c r="AA57" s="3">
        <v>-1.3314996950924698E-3</v>
      </c>
      <c r="AB57" s="3">
        <v>3.6246733272288709E-3</v>
      </c>
      <c r="AC57" s="3">
        <v>-2.8419605104114706E-3</v>
      </c>
      <c r="AD57" s="3">
        <v>-1.3482238074821074E-2</v>
      </c>
      <c r="AE57" s="3">
        <v>-6.1283584940115552E-3</v>
      </c>
      <c r="AF57" s="3">
        <v>-2.07155784628744E-2</v>
      </c>
      <c r="AG57" s="3">
        <v>-4.1542433234423026E-3</v>
      </c>
      <c r="AH57" s="3">
        <v>5.2494921798219496E-3</v>
      </c>
      <c r="AI57" s="3">
        <v>1.584810865196562E-2</v>
      </c>
      <c r="AJ57" s="3">
        <v>3.7090415704784628E-2</v>
      </c>
      <c r="AK57" s="3">
        <v>-4.6979865771812124E-2</v>
      </c>
      <c r="AL57" s="3">
        <v>5.8977182835574724E-3</v>
      </c>
      <c r="AM57" s="3">
        <v>-1.4775193819896601E-2</v>
      </c>
      <c r="AN57" s="3">
        <v>2.1090642323294315E-2</v>
      </c>
    </row>
    <row r="58" spans="1:40" x14ac:dyDescent="0.3">
      <c r="A58" s="101">
        <v>44396</v>
      </c>
      <c r="B58" s="3">
        <v>-2.7297365597662319E-2</v>
      </c>
      <c r="C58" s="3">
        <v>1.0754700252551045E-2</v>
      </c>
      <c r="D58" s="3">
        <v>1.462012033605304E-2</v>
      </c>
      <c r="E58" s="3">
        <v>3.1921580145765852E-3</v>
      </c>
      <c r="F58" s="3">
        <v>-1.5137540371457368E-3</v>
      </c>
      <c r="G58" s="3">
        <v>2.0741113457943737E-2</v>
      </c>
      <c r="H58" s="3">
        <v>7.1073558648110033E-3</v>
      </c>
      <c r="I58" s="3">
        <v>1.7607776275939218E-2</v>
      </c>
      <c r="J58" s="3">
        <v>-1.815533252312795E-2</v>
      </c>
      <c r="K58" s="3">
        <v>-3.0927835051546285E-2</v>
      </c>
      <c r="L58" s="3">
        <v>7.0643410412562953E-3</v>
      </c>
      <c r="M58" s="3">
        <v>-0.35505245720596357</v>
      </c>
      <c r="N58" s="3">
        <v>1.0855765805721806E-3</v>
      </c>
      <c r="O58" s="3">
        <v>-2.3441760078381536E-3</v>
      </c>
      <c r="P58" s="3">
        <v>-6.4226519337016549E-2</v>
      </c>
      <c r="Q58" s="3">
        <v>-1.2838889500545849E-2</v>
      </c>
      <c r="R58" s="3">
        <v>4.0394288051252079E-2</v>
      </c>
      <c r="S58" s="3">
        <v>0</v>
      </c>
      <c r="T58" s="3">
        <v>-2.6269660523353847E-2</v>
      </c>
      <c r="U58" s="3">
        <v>-3.5969482671178075E-2</v>
      </c>
      <c r="V58" s="3">
        <v>-1.1441582093748548E-2</v>
      </c>
      <c r="W58" s="3">
        <v>4.2071084519129345E-2</v>
      </c>
      <c r="X58" s="3">
        <v>0</v>
      </c>
      <c r="Y58" s="3">
        <v>8.7581295968485028E-3</v>
      </c>
      <c r="Z58" s="3">
        <v>2.5922233300099681E-2</v>
      </c>
      <c r="AA58" s="3">
        <v>3.0706757641197416E-3</v>
      </c>
      <c r="AB58" s="3">
        <v>3.4889131275804376E-2</v>
      </c>
      <c r="AC58" s="3">
        <v>6.4868353903105955E-2</v>
      </c>
      <c r="AD58" s="3">
        <v>-1.4447551094687421E-2</v>
      </c>
      <c r="AE58" s="3">
        <v>-6.9822289563804762E-2</v>
      </c>
      <c r="AF58" s="3">
        <v>3.4230704475466063E-2</v>
      </c>
      <c r="AG58" s="3">
        <v>2.9796780107462263E-3</v>
      </c>
      <c r="AH58" s="3">
        <v>3.0026060783977224E-2</v>
      </c>
      <c r="AI58" s="3">
        <v>2.8882607686067565E-2</v>
      </c>
      <c r="AJ58" s="3">
        <v>-4.8545282891826235E-3</v>
      </c>
      <c r="AK58" s="3">
        <v>7.0422535211267668E-3</v>
      </c>
      <c r="AL58" s="3">
        <v>1.7976276924085825E-2</v>
      </c>
      <c r="AM58" s="3">
        <v>1.3881424803770876E-2</v>
      </c>
      <c r="AN58" s="3">
        <v>6.2308623080239867E-3</v>
      </c>
    </row>
    <row r="59" spans="1:40" x14ac:dyDescent="0.3">
      <c r="A59" s="101">
        <v>44397</v>
      </c>
      <c r="B59" s="3">
        <v>-3.0563907404699839E-3</v>
      </c>
      <c r="C59" s="3">
        <v>-2.4454050863731459E-2</v>
      </c>
      <c r="D59" s="3">
        <v>-4.9035248036017652E-3</v>
      </c>
      <c r="E59" s="3">
        <v>-3.9442214259691834E-2</v>
      </c>
      <c r="F59" s="3">
        <v>2.761248605009747E-2</v>
      </c>
      <c r="G59" s="3">
        <v>4.4453177410585659E-2</v>
      </c>
      <c r="H59" s="3">
        <v>-1.9892262896752662E-3</v>
      </c>
      <c r="I59" s="3">
        <v>-7.1599274386031095E-3</v>
      </c>
      <c r="J59" s="3">
        <v>2.8183648403019564E-2</v>
      </c>
      <c r="K59" s="3">
        <v>0.12765957446808501</v>
      </c>
      <c r="L59" s="3">
        <v>3.1921580145765852E-3</v>
      </c>
      <c r="M59" s="3">
        <v>3.3167808219178081</v>
      </c>
      <c r="N59" s="3">
        <v>9.7570809682991078E-4</v>
      </c>
      <c r="O59" s="3">
        <v>2.0418073232528398E-2</v>
      </c>
      <c r="P59" s="3">
        <v>6.2730627306273032E-2</v>
      </c>
      <c r="Q59" s="3">
        <v>-2.8901742019393209E-3</v>
      </c>
      <c r="R59" s="3">
        <v>-1.0416744468801021E-2</v>
      </c>
      <c r="S59" s="3">
        <v>-2.4307925462551606E-2</v>
      </c>
      <c r="T59" s="3">
        <v>2.1582742832499135E-3</v>
      </c>
      <c r="U59" s="3">
        <v>-2.8737080966027728E-2</v>
      </c>
      <c r="V59" s="3">
        <v>-5.7871026882985056E-3</v>
      </c>
      <c r="W59" s="3">
        <v>-1.6048176027621184E-2</v>
      </c>
      <c r="X59" s="3">
        <v>-3.0394530107174279E-3</v>
      </c>
      <c r="Y59" s="3">
        <v>-9.405543554312135E-3</v>
      </c>
      <c r="Z59" s="3">
        <v>-2.9154518950436697E-3</v>
      </c>
      <c r="AA59" s="3">
        <v>-2.4751942836183531E-2</v>
      </c>
      <c r="AB59" s="3">
        <v>-2.2735712714638669E-2</v>
      </c>
      <c r="AC59" s="3">
        <v>1.1911953452623534E-2</v>
      </c>
      <c r="AD59" s="3">
        <v>-2.2583066828185762E-2</v>
      </c>
      <c r="AE59" s="3">
        <v>1.637748802162501E-2</v>
      </c>
      <c r="AF59" s="3">
        <v>-2.5288111984494887E-2</v>
      </c>
      <c r="AG59" s="3">
        <v>1.84194295900179E-2</v>
      </c>
      <c r="AH59" s="3">
        <v>-1.8377745211493109E-2</v>
      </c>
      <c r="AI59" s="3">
        <v>3.0053613875479744E-3</v>
      </c>
      <c r="AJ59" s="3">
        <v>1.4037011415851263E-2</v>
      </c>
      <c r="AK59" s="3">
        <v>1.3986013986014E-2</v>
      </c>
      <c r="AL59" s="3">
        <v>-3.7396708381976797E-3</v>
      </c>
      <c r="AM59" s="3">
        <v>-2.8188057606750954E-2</v>
      </c>
      <c r="AN59" s="3">
        <v>-1.7841854263565965E-2</v>
      </c>
    </row>
    <row r="60" spans="1:40" x14ac:dyDescent="0.3">
      <c r="A60" s="101">
        <v>44398</v>
      </c>
      <c r="B60" s="3">
        <v>-5.2954235867834695E-3</v>
      </c>
      <c r="C60" s="3">
        <v>2.6790381864410496E-3</v>
      </c>
      <c r="D60" s="3">
        <v>-2.0289662346259035E-2</v>
      </c>
      <c r="E60" s="3">
        <v>-1.0243691774535955E-2</v>
      </c>
      <c r="F60" s="3">
        <v>3.3719609058888773E-2</v>
      </c>
      <c r="G60" s="3">
        <v>1.636964658603976E-2</v>
      </c>
      <c r="H60" s="3">
        <v>5.3253199946740938E-4</v>
      </c>
      <c r="I60" s="3">
        <v>1.8028596408847109E-3</v>
      </c>
      <c r="J60" s="3">
        <v>1.8418942968622717E-2</v>
      </c>
      <c r="K60" s="3">
        <v>-1.4150943396226448E-2</v>
      </c>
      <c r="L60" s="3">
        <v>-3.9442214259691834E-2</v>
      </c>
      <c r="M60" s="3">
        <v>-0.64389131297104318</v>
      </c>
      <c r="N60" s="3">
        <v>-1.2564778127473057E-2</v>
      </c>
      <c r="O60" s="3">
        <v>1.3657252598567281E-2</v>
      </c>
      <c r="P60" s="3">
        <v>-2.916666666666666E-2</v>
      </c>
      <c r="Q60" s="3">
        <v>2.898541258565215E-2</v>
      </c>
      <c r="R60" s="3">
        <v>2.6315802104638193E-2</v>
      </c>
      <c r="S60" s="3">
        <v>0</v>
      </c>
      <c r="T60" s="3">
        <v>-1.2921793798288226E-2</v>
      </c>
      <c r="U60" s="3">
        <v>1.9565803674083795E-2</v>
      </c>
      <c r="V60" s="3">
        <v>5.8207881872650432E-3</v>
      </c>
      <c r="W60" s="3">
        <v>8.1016742194676122E-3</v>
      </c>
      <c r="X60" s="3">
        <v>7.7235974039919237E-3</v>
      </c>
      <c r="Y60" s="3">
        <v>1.045003060705578E-2</v>
      </c>
      <c r="Z60" s="3">
        <v>1.1695906432748635E-2</v>
      </c>
      <c r="AA60" s="3">
        <v>-2.3500914883193006E-2</v>
      </c>
      <c r="AB60" s="3">
        <v>1.4534840204242878E-2</v>
      </c>
      <c r="AC60" s="3">
        <v>-2.0265243478876122E-2</v>
      </c>
      <c r="AD60" s="3">
        <v>8.5122315487091982E-3</v>
      </c>
      <c r="AE60" s="3">
        <v>-3.8237707259017262E-2</v>
      </c>
      <c r="AF60" s="3">
        <v>3.8152707685988438E-3</v>
      </c>
      <c r="AG60" s="3">
        <v>4.084014240607615E-3</v>
      </c>
      <c r="AH60" s="3">
        <v>1.0974854057652519E-2</v>
      </c>
      <c r="AI60" s="3">
        <v>2.8259991043722951E-2</v>
      </c>
      <c r="AJ60" s="3">
        <v>3.4851783309389137E-2</v>
      </c>
      <c r="AK60" s="3">
        <v>-2.0689655172413814E-2</v>
      </c>
      <c r="AL60" s="3">
        <v>1.0772503900093957E-3</v>
      </c>
      <c r="AM60" s="3">
        <v>-2.2941818259737647E-2</v>
      </c>
      <c r="AN60" s="3">
        <v>-6.093185037265191E-3</v>
      </c>
    </row>
    <row r="61" spans="1:40" x14ac:dyDescent="0.3">
      <c r="A61" s="101">
        <v>44399</v>
      </c>
      <c r="B61" s="3">
        <v>-4.2028335804509759E-3</v>
      </c>
      <c r="C61" s="3">
        <v>-2.2901334629266412E-3</v>
      </c>
      <c r="D61" s="3">
        <v>3.2544149349632741E-2</v>
      </c>
      <c r="E61" s="3">
        <v>4.5626761070361045E-2</v>
      </c>
      <c r="F61" s="3">
        <v>-5.7083497758586409E-3</v>
      </c>
      <c r="G61" s="3">
        <v>8.4247082882547161E-2</v>
      </c>
      <c r="H61" s="3">
        <v>-7.2423821924838946E-3</v>
      </c>
      <c r="I61" s="3">
        <v>5.9993318506866317E-4</v>
      </c>
      <c r="J61" s="3">
        <v>-1.3813574940536111E-2</v>
      </c>
      <c r="K61" s="3">
        <v>0</v>
      </c>
      <c r="L61" s="3">
        <v>-1.0243691774535955E-2</v>
      </c>
      <c r="M61" s="3">
        <v>-0.59482038429406847</v>
      </c>
      <c r="N61" s="3">
        <v>6.252560923866596E-3</v>
      </c>
      <c r="O61" s="3">
        <v>-2.1228297952660975E-2</v>
      </c>
      <c r="P61" s="3">
        <v>3.0042918454935615E-2</v>
      </c>
      <c r="Q61" s="3">
        <v>-1.690131784976005E-2</v>
      </c>
      <c r="R61" s="3">
        <v>3.6480100653628514E-2</v>
      </c>
      <c r="S61" s="3">
        <v>-1.9030449579526953E-3</v>
      </c>
      <c r="T61" s="3">
        <v>4.8000022067570314E-2</v>
      </c>
      <c r="U61" s="3">
        <v>1.8722035906145768E-3</v>
      </c>
      <c r="V61" s="3">
        <v>-3.4722814397408204E-3</v>
      </c>
      <c r="W61" s="3">
        <v>1.0654462936050003E-2</v>
      </c>
      <c r="X61" s="3">
        <v>-3.5901632275045101E-2</v>
      </c>
      <c r="Y61" s="3">
        <v>-1.9460994624598876E-3</v>
      </c>
      <c r="Z61" s="3">
        <v>-1.4450867052023154E-2</v>
      </c>
      <c r="AA61" s="3">
        <v>-3.1144067068525697E-2</v>
      </c>
      <c r="AB61" s="3">
        <v>-2.9739996092738225E-2</v>
      </c>
      <c r="AC61" s="3">
        <v>-2.6121653992395504E-2</v>
      </c>
      <c r="AD61" s="3">
        <v>2.8537012383672858E-2</v>
      </c>
      <c r="AE61" s="3">
        <v>-2.6593975757091267E-2</v>
      </c>
      <c r="AF61" s="3">
        <v>7.6017473726166839E-3</v>
      </c>
      <c r="AG61" s="3">
        <v>6.9727488072485345E-3</v>
      </c>
      <c r="AH61" s="3">
        <v>3.5759870225306675E-2</v>
      </c>
      <c r="AI61" s="3">
        <v>1.3245103828532914E-2</v>
      </c>
      <c r="AJ61" s="3">
        <v>-2.7511453108566646E-3</v>
      </c>
      <c r="AK61" s="3">
        <v>-5.6338028169013982E-2</v>
      </c>
      <c r="AL61" s="3">
        <v>-1.0547436668672056E-2</v>
      </c>
      <c r="AM61" s="3">
        <v>-3.4031221461053106E-2</v>
      </c>
      <c r="AN61" s="3">
        <v>-2.1437994846577275E-2</v>
      </c>
    </row>
    <row r="62" spans="1:40" x14ac:dyDescent="0.3">
      <c r="A62" s="101">
        <v>44400</v>
      </c>
      <c r="B62" s="3">
        <v>-7.878490425803384E-3</v>
      </c>
      <c r="C62" s="3">
        <v>-3.0604816993466217E-3</v>
      </c>
      <c r="D62" s="3">
        <v>2.2922585880822882E-2</v>
      </c>
      <c r="E62" s="3">
        <v>-4.5783869083242924E-2</v>
      </c>
      <c r="F62" s="3">
        <v>5.9462197734055739E-3</v>
      </c>
      <c r="G62" s="3">
        <v>8.4385557243818535E-2</v>
      </c>
      <c r="H62" s="3">
        <v>-2.2594110213303782E-3</v>
      </c>
      <c r="I62" s="3">
        <v>2.3980482476694529E-3</v>
      </c>
      <c r="J62" s="3">
        <v>1.7617548789059398E-2</v>
      </c>
      <c r="K62" s="3">
        <v>-7.9425837320574177E-2</v>
      </c>
      <c r="L62" s="3">
        <v>4.5626761070361045E-2</v>
      </c>
      <c r="M62" s="3">
        <v>1.0254295532646047</v>
      </c>
      <c r="N62" s="3">
        <v>6.5403951863139285E-4</v>
      </c>
      <c r="O62" s="3">
        <v>4.0016055572958025E-3</v>
      </c>
      <c r="P62" s="3">
        <v>3.4722222222221483E-3</v>
      </c>
      <c r="Q62" s="3">
        <v>-1.1461318214012287E-2</v>
      </c>
      <c r="R62" s="3">
        <v>-3.3735770037980129E-4</v>
      </c>
      <c r="S62" s="3">
        <v>5.1991711735195482E-4</v>
      </c>
      <c r="T62" s="3">
        <v>-3.4698082241051108E-2</v>
      </c>
      <c r="U62" s="3">
        <v>-7.2413408425776923E-3</v>
      </c>
      <c r="V62" s="3">
        <v>2.3228869531183283E-3</v>
      </c>
      <c r="W62" s="3">
        <v>-4.5180396403669727E-3</v>
      </c>
      <c r="X62" s="3">
        <v>-8.3681382503794418E-3</v>
      </c>
      <c r="Y62" s="3">
        <v>-5.9052813370473944E-3</v>
      </c>
      <c r="Z62" s="3">
        <v>1.9550342130986876E-3</v>
      </c>
      <c r="AA62" s="3">
        <v>0.13123639721516173</v>
      </c>
      <c r="AB62" s="3">
        <v>3.32344585582856E-2</v>
      </c>
      <c r="AC62" s="3">
        <v>1.468008404560029E-2</v>
      </c>
      <c r="AD62" s="3">
        <v>1.2504901350519654E-2</v>
      </c>
      <c r="AE62" s="3">
        <v>3.8931219481423787E-3</v>
      </c>
      <c r="AF62" s="3">
        <v>-1.0184991319194928E-2</v>
      </c>
      <c r="AG62" s="3">
        <v>1.904212348528574E-2</v>
      </c>
      <c r="AH62" s="3">
        <v>-1.109731754327321E-2</v>
      </c>
      <c r="AI62" s="3">
        <v>2.0000009334508344E-2</v>
      </c>
      <c r="AJ62" s="3">
        <v>9.512663972939024E-4</v>
      </c>
      <c r="AK62" s="3">
        <v>5.9701492537313314E-2</v>
      </c>
      <c r="AL62" s="3">
        <v>1.7766456141462158E-2</v>
      </c>
      <c r="AM62" s="3">
        <v>1.8289696802578283E-2</v>
      </c>
      <c r="AN62" s="3">
        <v>2.6478053055642919E-2</v>
      </c>
    </row>
    <row r="63" spans="1:40" x14ac:dyDescent="0.3">
      <c r="A63" s="101">
        <v>44403</v>
      </c>
      <c r="B63" s="3">
        <v>1.6165668646298911E-2</v>
      </c>
      <c r="C63" s="3">
        <v>4.4129457710537614E-3</v>
      </c>
      <c r="D63" s="3">
        <v>-1.1204457794371896E-2</v>
      </c>
      <c r="E63" s="3">
        <v>5.3851767004495614E-3</v>
      </c>
      <c r="F63" s="3">
        <v>-1.100700224260912E-2</v>
      </c>
      <c r="G63" s="3">
        <v>1.5489999755163296E-2</v>
      </c>
      <c r="H63" s="3">
        <v>1.7271820066027616E-4</v>
      </c>
      <c r="I63" s="3">
        <v>4.7846227391634957E-3</v>
      </c>
      <c r="J63" s="3">
        <v>-2.9798678249980414E-3</v>
      </c>
      <c r="K63" s="3">
        <v>-6.2370062370061046E-3</v>
      </c>
      <c r="L63" s="3">
        <v>-4.5783869083242924E-2</v>
      </c>
      <c r="M63" s="3">
        <v>2.8846284356973193</v>
      </c>
      <c r="N63" s="3">
        <v>0</v>
      </c>
      <c r="O63" s="3">
        <v>-3.6667234090148474E-3</v>
      </c>
      <c r="P63" s="3">
        <v>2.3529411764705875E-2</v>
      </c>
      <c r="Q63" s="3">
        <v>-5.9420284293098785E-2</v>
      </c>
      <c r="R63" s="3">
        <v>-1.0123706392914242E-2</v>
      </c>
      <c r="S63" s="3">
        <v>0</v>
      </c>
      <c r="T63" s="3">
        <v>7.9079952612606131E-3</v>
      </c>
      <c r="U63" s="3">
        <v>1.1764744055685252E-2</v>
      </c>
      <c r="V63" s="3">
        <v>-3.1286150489313602E-2</v>
      </c>
      <c r="W63" s="3">
        <v>8.3208276376776288E-3</v>
      </c>
      <c r="X63" s="3">
        <v>-1.3713121784256477E-2</v>
      </c>
      <c r="Y63" s="3">
        <v>8.0138589104028143E-3</v>
      </c>
      <c r="Z63" s="3">
        <v>9.2682926829268222E-2</v>
      </c>
      <c r="AA63" s="3">
        <v>4.260465670914889E-2</v>
      </c>
      <c r="AB63" s="3">
        <v>1.7697513973136157E-2</v>
      </c>
      <c r="AC63" s="3">
        <v>5.4252680696485374E-3</v>
      </c>
      <c r="AD63" s="3">
        <v>-1.2350460065763746E-2</v>
      </c>
      <c r="AE63" s="3">
        <v>2.0342938368293303E-2</v>
      </c>
      <c r="AF63" s="3">
        <v>1.7149571286757988E-2</v>
      </c>
      <c r="AG63" s="3">
        <v>2.2650622876557291E-3</v>
      </c>
      <c r="AH63" s="3">
        <v>6.4837832763086412E-2</v>
      </c>
      <c r="AI63" s="3">
        <v>1.4161163892485406E-2</v>
      </c>
      <c r="AJ63" s="3">
        <v>1.2354963963396979E-2</v>
      </c>
      <c r="AK63" s="3">
        <v>-2.1126760563380302E-2</v>
      </c>
      <c r="AL63" s="3">
        <v>7.8520130112169403E-3</v>
      </c>
      <c r="AM63" s="3">
        <v>1.232461772072975E-2</v>
      </c>
      <c r="AN63" s="3">
        <v>-3.8583409228897507E-4</v>
      </c>
    </row>
    <row r="64" spans="1:40" x14ac:dyDescent="0.3">
      <c r="A64" s="101">
        <v>44404</v>
      </c>
      <c r="B64" s="3">
        <v>5.5818628264082751E-3</v>
      </c>
      <c r="C64" s="3">
        <v>2.1011785511823354E-3</v>
      </c>
      <c r="D64" s="3">
        <v>3.3994549458065057E-2</v>
      </c>
      <c r="E64" s="3">
        <v>-1.7824985972907305E-2</v>
      </c>
      <c r="F64" s="3">
        <v>9.8929832441331123E-3</v>
      </c>
      <c r="G64" s="3">
        <v>-1.3334061083997605E-2</v>
      </c>
      <c r="H64" s="3">
        <v>4.8966747894159911E-3</v>
      </c>
      <c r="I64" s="3">
        <v>4.1666641258157736E-2</v>
      </c>
      <c r="J64" s="3">
        <v>6.9738458979473538E-3</v>
      </c>
      <c r="K64" s="3">
        <v>1.2552301255230044E-2</v>
      </c>
      <c r="L64" s="3">
        <v>5.3851767004495614E-3</v>
      </c>
      <c r="M64" s="3">
        <v>-0.56464011180992313</v>
      </c>
      <c r="N64" s="3">
        <v>-3.8675214033110049E-2</v>
      </c>
      <c r="O64" s="3">
        <v>-5.2804371131371011E-3</v>
      </c>
      <c r="P64" s="3">
        <v>3.3130493576741055E-2</v>
      </c>
      <c r="Q64" s="3">
        <v>7.7040620366342714E-3</v>
      </c>
      <c r="R64" s="3">
        <v>4.9431856065514153E-2</v>
      </c>
      <c r="S64" s="3">
        <v>6.2371189795937566E-3</v>
      </c>
      <c r="T64" s="3">
        <v>1.4265316252116656E-2</v>
      </c>
      <c r="U64" s="3">
        <v>3.0233122883965781E-3</v>
      </c>
      <c r="V64" s="3">
        <v>1.315787990312919E-2</v>
      </c>
      <c r="W64" s="3">
        <v>9.9023508761778758E-3</v>
      </c>
      <c r="X64" s="3">
        <v>1.06951871657754E-2</v>
      </c>
      <c r="Y64" s="3">
        <v>8.6173516600142452E-3</v>
      </c>
      <c r="Z64" s="3">
        <v>2.5892857142857228E-2</v>
      </c>
      <c r="AA64" s="3">
        <v>1.8328195671364535E-2</v>
      </c>
      <c r="AB64" s="3">
        <v>-8.9120810483642426E-4</v>
      </c>
      <c r="AC64" s="3">
        <v>-2.2961348165085766E-4</v>
      </c>
      <c r="AD64" s="3">
        <v>-6.2523880315212424E-3</v>
      </c>
      <c r="AE64" s="3">
        <v>-2.08041273534431E-2</v>
      </c>
      <c r="AF64" s="3">
        <v>2.8849581642480158E-2</v>
      </c>
      <c r="AG64" s="3">
        <v>9.0395475118899785E-3</v>
      </c>
      <c r="AH64" s="3">
        <v>-5.5035166877728074E-2</v>
      </c>
      <c r="AI64" s="3">
        <v>-6.4447147774213962E-3</v>
      </c>
      <c r="AJ64" s="3">
        <v>-8.4503582970590831E-4</v>
      </c>
      <c r="AK64" s="3">
        <v>-7.1942446043165541E-3</v>
      </c>
      <c r="AL64" s="3">
        <v>-7.059883340776554E-3</v>
      </c>
      <c r="AM64" s="3">
        <v>2.8047411058143932E-3</v>
      </c>
      <c r="AN64" s="3">
        <v>-4.1125587346032997E-3</v>
      </c>
    </row>
    <row r="65" spans="1:40" x14ac:dyDescent="0.3">
      <c r="A65" s="101">
        <v>44405</v>
      </c>
      <c r="B65" s="3">
        <v>-2.4979241400454804E-2</v>
      </c>
      <c r="C65" s="3">
        <v>-7.2435841594106426E-3</v>
      </c>
      <c r="D65" s="3">
        <v>0</v>
      </c>
      <c r="E65" s="3">
        <v>-1.6226492670688944E-2</v>
      </c>
      <c r="F65" s="3">
        <v>-1.8571567020378005E-2</v>
      </c>
      <c r="G65" s="3">
        <v>4.3645265222120233E-3</v>
      </c>
      <c r="H65" s="3">
        <v>2.1881838074399146E-3</v>
      </c>
      <c r="I65" s="3">
        <v>-2.2857004030854798E-2</v>
      </c>
      <c r="J65" s="3">
        <v>-1.8657409272744847E-2</v>
      </c>
      <c r="K65" s="3">
        <v>2.8925619834710863E-2</v>
      </c>
      <c r="L65" s="3">
        <v>-1.7824985972907305E-2</v>
      </c>
      <c r="M65" s="3">
        <v>-0.40048154093097915</v>
      </c>
      <c r="N65" s="3">
        <v>3.195824360846148E-2</v>
      </c>
      <c r="O65" s="3">
        <v>-3.7802972630503525E-3</v>
      </c>
      <c r="P65" s="3">
        <v>-2.1596858638743461E-2</v>
      </c>
      <c r="Q65" s="3">
        <v>1.0703460978921792E-2</v>
      </c>
      <c r="R65" s="3">
        <v>-2.7070939352307278E-3</v>
      </c>
      <c r="S65" s="3">
        <v>0</v>
      </c>
      <c r="T65" s="3">
        <v>-1.758129949797984E-3</v>
      </c>
      <c r="U65" s="3">
        <v>-8.5788161029918906E-3</v>
      </c>
      <c r="V65" s="3">
        <v>1.2986998536089213E-2</v>
      </c>
      <c r="W65" s="3">
        <v>-1.3816671873090236E-2</v>
      </c>
      <c r="X65" s="3">
        <v>-1.185187301587301E-2</v>
      </c>
      <c r="Y65" s="3">
        <v>-8.7090839897373332E-3</v>
      </c>
      <c r="Z65" s="3">
        <v>1.1314186248912011E-2</v>
      </c>
      <c r="AA65" s="3">
        <v>0.11203057506173275</v>
      </c>
      <c r="AB65" s="3">
        <v>-2.6108259216299301E-3</v>
      </c>
      <c r="AC65" s="3">
        <v>-3.0617823863782336E-4</v>
      </c>
      <c r="AD65" s="3">
        <v>1.2190390523003535E-2</v>
      </c>
      <c r="AE65" s="3">
        <v>-7.7630163665094931E-3</v>
      </c>
      <c r="AF65" s="3">
        <v>-8.3758289862255614E-3</v>
      </c>
      <c r="AG65" s="3">
        <v>-8.9585661277398667E-3</v>
      </c>
      <c r="AH65" s="3">
        <v>4.9566438076546768E-3</v>
      </c>
      <c r="AI65" s="3">
        <v>1.2909474666005323E-2</v>
      </c>
      <c r="AJ65" s="3">
        <v>-7.2345689628706073E-3</v>
      </c>
      <c r="AK65" s="3">
        <v>-7.2463768115940486E-3</v>
      </c>
      <c r="AL65" s="3">
        <v>6.7983660256821614E-3</v>
      </c>
      <c r="AM65" s="3">
        <v>-6.8365584815117226E-4</v>
      </c>
      <c r="AN65" s="3">
        <v>1.0924314261508332E-2</v>
      </c>
    </row>
    <row r="66" spans="1:40" x14ac:dyDescent="0.3">
      <c r="A66" s="101">
        <v>44406</v>
      </c>
      <c r="B66" s="3">
        <v>-1.3094160493006234E-2</v>
      </c>
      <c r="C66" s="3">
        <v>-1.1712771555550359E-2</v>
      </c>
      <c r="D66" s="3">
        <v>1.3698457952840018E-2</v>
      </c>
      <c r="E66" s="3">
        <v>4.8209916312793241E-2</v>
      </c>
      <c r="F66" s="3">
        <v>1.5284006116439985E-2</v>
      </c>
      <c r="G66" s="3">
        <v>-2.6439806282722533E-2</v>
      </c>
      <c r="H66" s="3">
        <v>-7.1637059222521692E-4</v>
      </c>
      <c r="I66" s="3">
        <v>-1.228077070410853E-2</v>
      </c>
      <c r="J66" s="3">
        <v>1.6707458901490526E-2</v>
      </c>
      <c r="K66" s="3">
        <v>2.0080321285140131E-3</v>
      </c>
      <c r="L66" s="3">
        <v>-1.6226492670688944E-2</v>
      </c>
      <c r="M66" s="3">
        <v>-0.29384203480589022</v>
      </c>
      <c r="N66" s="3">
        <v>8.5657863952666152E-3</v>
      </c>
      <c r="O66" s="3">
        <v>-1.1141563946374671E-2</v>
      </c>
      <c r="P66" s="3">
        <v>1.6722408026755852E-2</v>
      </c>
      <c r="Q66" s="3">
        <v>1.0589917954499031E-2</v>
      </c>
      <c r="R66" s="3">
        <v>3.1487518456442265E-2</v>
      </c>
      <c r="S66" s="3">
        <v>1.3123267500498833E-2</v>
      </c>
      <c r="T66" s="3">
        <v>-5.6358378685235433E-3</v>
      </c>
      <c r="U66" s="3">
        <v>9.3554209077399448E-4</v>
      </c>
      <c r="V66" s="3">
        <v>1.3985953226150439E-2</v>
      </c>
      <c r="W66" s="3">
        <v>8.4363736671380397E-3</v>
      </c>
      <c r="X66" s="3">
        <v>3.6410795382539342E-3</v>
      </c>
      <c r="Y66" s="3">
        <v>1.1343466666892038E-2</v>
      </c>
      <c r="Z66" s="3">
        <v>-2.8399311531841661E-2</v>
      </c>
      <c r="AA66" s="3">
        <v>2.802837997669792E-2</v>
      </c>
      <c r="AB66" s="3">
        <v>8.332759960113777E-3</v>
      </c>
      <c r="AC66" s="3">
        <v>4.5182722542766165E-3</v>
      </c>
      <c r="AD66" s="3">
        <v>-6.6046534376521093E-3</v>
      </c>
      <c r="AE66" s="3">
        <v>2.8412592142693517E-2</v>
      </c>
      <c r="AF66" s="3">
        <v>-9.548118338466657E-3</v>
      </c>
      <c r="AG66" s="3">
        <v>-2.1468981837910631E-2</v>
      </c>
      <c r="AH66" s="3">
        <v>3.2059153372048399E-2</v>
      </c>
      <c r="AI66" s="3">
        <v>7.0315272936469341E-3</v>
      </c>
      <c r="AJ66" s="3">
        <v>1.2398160350067204E-2</v>
      </c>
      <c r="AK66" s="3">
        <v>0.29197080291970795</v>
      </c>
      <c r="AL66" s="3">
        <v>2.6759218783930928E-2</v>
      </c>
      <c r="AM66" s="3">
        <v>1.9736682661096534E-2</v>
      </c>
      <c r="AN66" s="3">
        <v>4.0874664426485983E-2</v>
      </c>
    </row>
    <row r="67" spans="1:40" x14ac:dyDescent="0.3">
      <c r="A67" s="101">
        <v>44407</v>
      </c>
      <c r="B67" s="3">
        <v>4.9610665058904845E-2</v>
      </c>
      <c r="C67" s="3">
        <v>-6.8000520544018849E-3</v>
      </c>
      <c r="D67" s="3">
        <v>1.8919014987794656E-2</v>
      </c>
      <c r="E67" s="3">
        <v>4.9849395927747528E-3</v>
      </c>
      <c r="F67" s="3">
        <v>-8.1926515360400138E-4</v>
      </c>
      <c r="G67" s="3">
        <v>-4.6948083575392582E-2</v>
      </c>
      <c r="H67" s="3">
        <v>1.1020187152521988E-3</v>
      </c>
      <c r="I67" s="3">
        <v>4.7957435867294722E-2</v>
      </c>
      <c r="J67" s="3">
        <v>2.1249786529850198E-2</v>
      </c>
      <c r="K67" s="3">
        <v>3.2064128256513051E-2</v>
      </c>
      <c r="L67" s="3">
        <v>4.8209916312793241E-2</v>
      </c>
      <c r="M67" s="3">
        <v>0.66303317535545025</v>
      </c>
      <c r="N67" s="3">
        <v>2.2212698775324828E-2</v>
      </c>
      <c r="O67" s="3">
        <v>9.8791857881746527E-3</v>
      </c>
      <c r="P67" s="3">
        <v>3.4210526315789566E-2</v>
      </c>
      <c r="Q67" s="3">
        <v>1.4971008468477329E-3</v>
      </c>
      <c r="R67" s="3">
        <v>3.6842081309816248E-2</v>
      </c>
      <c r="S67" s="3">
        <v>-1.8527522402044146E-2</v>
      </c>
      <c r="T67" s="3">
        <v>9.5643887745089327E-3</v>
      </c>
      <c r="U67" s="3">
        <v>2.383172415951669E-2</v>
      </c>
      <c r="V67" s="3">
        <v>-1.4942423688539572E-2</v>
      </c>
      <c r="W67" s="3">
        <v>2.6292055964025413E-2</v>
      </c>
      <c r="X67" s="3">
        <v>0</v>
      </c>
      <c r="Y67" s="3">
        <v>2.2377347086613424E-2</v>
      </c>
      <c r="Z67" s="3">
        <v>6.200177147918538E-3</v>
      </c>
      <c r="AA67" s="3">
        <v>-4.5360634627918672E-3</v>
      </c>
      <c r="AB67" s="3">
        <v>1.2547241860802088E-3</v>
      </c>
      <c r="AC67" s="3">
        <v>9.5296181982102346E-4</v>
      </c>
      <c r="AD67" s="3">
        <v>-1.9553865099270129E-3</v>
      </c>
      <c r="AE67" s="3">
        <v>-1.6549955960629182E-2</v>
      </c>
      <c r="AF67" s="3">
        <v>1.2977336855204592E-2</v>
      </c>
      <c r="AG67" s="3">
        <v>5.1963048498845183E-3</v>
      </c>
      <c r="AH67" s="3">
        <v>-1.278383706891406E-2</v>
      </c>
      <c r="AI67" s="3">
        <v>-3.416451642632725E-2</v>
      </c>
      <c r="AJ67" s="3">
        <v>1.327475503417125E-2</v>
      </c>
      <c r="AK67" s="3">
        <v>4.5197740112994392E-2</v>
      </c>
      <c r="AL67" s="3">
        <v>-7.1024894135763789E-3</v>
      </c>
      <c r="AM67" s="3">
        <v>-1.4922634181009642E-2</v>
      </c>
      <c r="AN67" s="3">
        <v>-1.5701143627932897E-2</v>
      </c>
    </row>
    <row r="68" spans="1:40" x14ac:dyDescent="0.3">
      <c r="A68" s="101">
        <v>44410</v>
      </c>
      <c r="B68" s="3">
        <v>1.7862069556987249E-2</v>
      </c>
      <c r="C68" s="3">
        <v>-3.9123820253928214E-3</v>
      </c>
      <c r="D68" s="3">
        <v>0</v>
      </c>
      <c r="E68" s="3">
        <v>-4.4038974955335194E-2</v>
      </c>
      <c r="F68" s="3">
        <v>-8.404302898046976E-3</v>
      </c>
      <c r="G68" s="3">
        <v>2.0934386519950419E-2</v>
      </c>
      <c r="H68" s="3">
        <v>4.0908831203457629E-3</v>
      </c>
      <c r="I68" s="3">
        <v>-1.4689293005062659E-2</v>
      </c>
      <c r="J68" s="3">
        <v>3.3289899049605116E-3</v>
      </c>
      <c r="K68" s="3">
        <v>0</v>
      </c>
      <c r="L68" s="3">
        <v>4.9849395927747528E-3</v>
      </c>
      <c r="M68" s="3">
        <v>0.59304645198062123</v>
      </c>
      <c r="N68" s="3">
        <v>-1.6723567897828612E-2</v>
      </c>
      <c r="O68" s="3">
        <v>2.9913048052145675E-3</v>
      </c>
      <c r="P68" s="3">
        <v>8.2697201017811639E-2</v>
      </c>
      <c r="Q68" s="3">
        <v>-1.0463472074774192E-2</v>
      </c>
      <c r="R68" s="3">
        <v>-1.7461946151109853E-2</v>
      </c>
      <c r="S68" s="3">
        <v>3.541777789178553E-4</v>
      </c>
      <c r="T68" s="3">
        <v>0</v>
      </c>
      <c r="U68" s="3">
        <v>-8.2154692416027183E-3</v>
      </c>
      <c r="V68" s="3">
        <v>-1.1669143393697222E-3</v>
      </c>
      <c r="W68" s="3">
        <v>-7.2767700643452482E-4</v>
      </c>
      <c r="X68" s="3">
        <v>2.7742423650396432E-3</v>
      </c>
      <c r="Y68" s="3">
        <v>-2.0274289114401007E-2</v>
      </c>
      <c r="Z68" s="3">
        <v>0</v>
      </c>
      <c r="AA68" s="3">
        <v>6.5636443056295291E-2</v>
      </c>
      <c r="AB68" s="3">
        <v>2.2189513527598046E-2</v>
      </c>
      <c r="AC68" s="3">
        <v>2.4448814112476843E-2</v>
      </c>
      <c r="AD68" s="3">
        <v>-1.9592342882876861E-2</v>
      </c>
      <c r="AE68" s="3">
        <v>1.0314202697774402E-2</v>
      </c>
      <c r="AF68" s="3">
        <v>-2.3059981619275811E-2</v>
      </c>
      <c r="AG68" s="3">
        <v>6.3182079264790022E-3</v>
      </c>
      <c r="AH68" s="3">
        <v>-2.0936474111051727E-2</v>
      </c>
      <c r="AI68" s="3">
        <v>1.1619389121347197E-3</v>
      </c>
      <c r="AJ68" s="3">
        <v>-3.5058885897451576E-3</v>
      </c>
      <c r="AK68" s="3">
        <v>-9.1891891891891966E-2</v>
      </c>
      <c r="AL68" s="3">
        <v>2.2112643162485658E-2</v>
      </c>
      <c r="AM68" s="3">
        <v>2.7593740382625964E-2</v>
      </c>
      <c r="AN68" s="3">
        <v>1.1314272606312388E-2</v>
      </c>
    </row>
    <row r="69" spans="1:40" x14ac:dyDescent="0.3">
      <c r="A69" s="101">
        <v>44411</v>
      </c>
      <c r="B69" s="3">
        <v>-1.2958954818612594E-2</v>
      </c>
      <c r="C69" s="3">
        <v>-3.1421436425954196E-3</v>
      </c>
      <c r="D69" s="3">
        <v>2.1219839943231268E-2</v>
      </c>
      <c r="E69" s="3">
        <v>6.0461331525049527E-3</v>
      </c>
      <c r="F69" s="3">
        <v>2.9973356667859523E-3</v>
      </c>
      <c r="G69" s="3">
        <v>9.8381366764326034E-3</v>
      </c>
      <c r="H69" s="3">
        <v>2.4733601660034679E-3</v>
      </c>
      <c r="I69" s="3">
        <v>2.8669738513177594E-2</v>
      </c>
      <c r="J69" s="3">
        <v>5.5304411340532187E-3</v>
      </c>
      <c r="K69" s="3">
        <v>4.8543689320387313E-3</v>
      </c>
      <c r="L69" s="3">
        <v>-4.4038974955335194E-2</v>
      </c>
      <c r="M69" s="3">
        <v>0.24311270125223614</v>
      </c>
      <c r="N69" s="3">
        <v>6.608197204628065E-3</v>
      </c>
      <c r="O69" s="3">
        <v>-8.0607421897042366E-4</v>
      </c>
      <c r="P69" s="3">
        <v>5.9929553466510029E-2</v>
      </c>
      <c r="Q69" s="3">
        <v>0</v>
      </c>
      <c r="R69" s="3">
        <v>5.497010403378931E-2</v>
      </c>
      <c r="S69" s="3">
        <v>-4.3635100146585566E-3</v>
      </c>
      <c r="T69" s="3">
        <v>5.6140133300175803E-3</v>
      </c>
      <c r="U69" s="3">
        <v>4.6014133904346855E-4</v>
      </c>
      <c r="V69" s="3">
        <v>7.0092653463554779E-3</v>
      </c>
      <c r="W69" s="3">
        <v>-2.0393174183301168E-3</v>
      </c>
      <c r="X69" s="3">
        <v>2.1276866513014961E-4</v>
      </c>
      <c r="Y69" s="3">
        <v>3.7326162373933951E-3</v>
      </c>
      <c r="Z69" s="3">
        <v>-2.0246478873239319E-2</v>
      </c>
      <c r="AA69" s="3">
        <v>2.4052923233389152E-2</v>
      </c>
      <c r="AB69" s="3">
        <v>5.1532599104003741E-2</v>
      </c>
      <c r="AC69" s="3">
        <v>-7.434667579842103E-3</v>
      </c>
      <c r="AD69" s="3">
        <v>-3.5971519560600452E-3</v>
      </c>
      <c r="AE69" s="3">
        <v>-1.1820767088593894E-2</v>
      </c>
      <c r="AF69" s="3">
        <v>-6.7441197550269132E-3</v>
      </c>
      <c r="AG69" s="3">
        <v>-4.5661529680365767E-3</v>
      </c>
      <c r="AH69" s="3">
        <v>-1.1124876146001774E-2</v>
      </c>
      <c r="AI69" s="3">
        <v>-1.6054100680045841E-2</v>
      </c>
      <c r="AJ69" s="3">
        <v>1.6109760348949946E-2</v>
      </c>
      <c r="AK69" s="3">
        <v>-5.3571428571428492E-2</v>
      </c>
      <c r="AL69" s="3">
        <v>-8.4081553113152729E-4</v>
      </c>
      <c r="AM69" s="3">
        <v>-1.1227146148549633E-2</v>
      </c>
      <c r="AN69" s="3">
        <v>-3.8364393440833231E-3</v>
      </c>
    </row>
    <row r="70" spans="1:40" x14ac:dyDescent="0.3">
      <c r="A70" s="101">
        <v>44412</v>
      </c>
      <c r="B70" s="3">
        <v>-1.914671381274638E-2</v>
      </c>
      <c r="C70" s="3">
        <v>-1.8321474225450881E-2</v>
      </c>
      <c r="D70" s="3">
        <v>0</v>
      </c>
      <c r="E70" s="3">
        <v>-4.4400609840829653E-3</v>
      </c>
      <c r="F70" s="3">
        <v>1.731251783011024E-2</v>
      </c>
      <c r="G70" s="3">
        <v>3.6396441055360593E-2</v>
      </c>
      <c r="H70" s="3">
        <v>5.857845084972872E-3</v>
      </c>
      <c r="I70" s="3">
        <v>3.3444923006780091E-3</v>
      </c>
      <c r="J70" s="3">
        <v>-3.9874212063240036E-3</v>
      </c>
      <c r="K70" s="3">
        <v>9.1787439613526672E-2</v>
      </c>
      <c r="L70" s="3">
        <v>6.0461331525049527E-3</v>
      </c>
      <c r="M70" s="3">
        <v>-0.52424809325082744</v>
      </c>
      <c r="N70" s="3">
        <v>-1.1300098586180807E-2</v>
      </c>
      <c r="O70" s="3">
        <v>-1.6138334426275258E-4</v>
      </c>
      <c r="P70" s="3">
        <v>-2.6053269065783306E-2</v>
      </c>
      <c r="Q70" s="3">
        <v>1.510669736961375E-3</v>
      </c>
      <c r="R70" s="3">
        <v>-2.0568090044348668E-2</v>
      </c>
      <c r="S70" s="3">
        <v>0</v>
      </c>
      <c r="T70" s="3">
        <v>6.6294455141328217E-3</v>
      </c>
      <c r="U70" s="3">
        <v>-1.3109343965490771E-2</v>
      </c>
      <c r="V70" s="3">
        <v>-2.3201823625229108E-2</v>
      </c>
      <c r="W70" s="3">
        <v>2.583557049519581E-2</v>
      </c>
      <c r="X70" s="3">
        <v>-1.6808531914893544E-2</v>
      </c>
      <c r="Y70" s="3">
        <v>-1.1702942077529654E-2</v>
      </c>
      <c r="Z70" s="3">
        <v>-8.9847259658594448E-4</v>
      </c>
      <c r="AA70" s="3">
        <v>-1.7453804980779069E-2</v>
      </c>
      <c r="AB70" s="3">
        <v>1.1960179500422547E-2</v>
      </c>
      <c r="AC70" s="3">
        <v>1.6403898116029367E-2</v>
      </c>
      <c r="AD70" s="3">
        <v>9.6268493625639665E-3</v>
      </c>
      <c r="AE70" s="3">
        <v>9.8552093436005527E-3</v>
      </c>
      <c r="AF70" s="3">
        <v>4.262529122112213E-2</v>
      </c>
      <c r="AG70" s="3">
        <v>-8.0276371543785505E-3</v>
      </c>
      <c r="AH70" s="3">
        <v>1.8749925579950654E-2</v>
      </c>
      <c r="AI70" s="3">
        <v>-1.7693407847596734E-3</v>
      </c>
      <c r="AJ70" s="3">
        <v>1.8952046876831316E-2</v>
      </c>
      <c r="AK70" s="3">
        <v>1.2578616352201269E-2</v>
      </c>
      <c r="AL70" s="3">
        <v>4.9227418067226249E-3</v>
      </c>
      <c r="AM70" s="3">
        <v>-7.1093417038424634E-3</v>
      </c>
      <c r="AN70" s="3">
        <v>6.9230196508934388E-3</v>
      </c>
    </row>
    <row r="71" spans="1:40" x14ac:dyDescent="0.3">
      <c r="A71" s="101">
        <v>44413</v>
      </c>
      <c r="B71" s="3">
        <v>-1.6452880029619425E-2</v>
      </c>
      <c r="C71" s="3">
        <v>-2.6089150270217523E-3</v>
      </c>
      <c r="D71" s="3">
        <v>-7.7920599108116488E-3</v>
      </c>
      <c r="E71" s="3">
        <v>4.4147819020058819E-3</v>
      </c>
      <c r="F71" s="3">
        <v>-5.4700519393930565E-3</v>
      </c>
      <c r="G71" s="3">
        <v>-2.4978854958920282E-2</v>
      </c>
      <c r="H71" s="3">
        <v>3.7620998536789619E-6</v>
      </c>
      <c r="I71" s="3">
        <v>-1.166661847858768E-2</v>
      </c>
      <c r="J71" s="3">
        <v>-1.0905613917688409E-2</v>
      </c>
      <c r="K71" s="3">
        <v>-1.7699115044247881E-2</v>
      </c>
      <c r="L71" s="3">
        <v>-4.4400609840829653E-3</v>
      </c>
      <c r="M71" s="3">
        <v>0.61645493042952204</v>
      </c>
      <c r="N71" s="3">
        <v>-1.0014112676035372E-2</v>
      </c>
      <c r="O71" s="3">
        <v>-3.7921260335362608E-3</v>
      </c>
      <c r="P71" s="3">
        <v>3.130341491178134E-2</v>
      </c>
      <c r="Q71" s="3">
        <v>1.3574564577785924E-2</v>
      </c>
      <c r="R71" s="3">
        <v>-1.0499965035193412E-2</v>
      </c>
      <c r="S71" s="3">
        <v>4.8696214039337851E-3</v>
      </c>
      <c r="T71" s="3">
        <v>3.1196031331266806E-3</v>
      </c>
      <c r="U71" s="3">
        <v>6.990708430046279E-4</v>
      </c>
      <c r="V71" s="3">
        <v>-1.3064119360374859E-2</v>
      </c>
      <c r="W71" s="3">
        <v>-9.9600636943234806E-3</v>
      </c>
      <c r="X71" s="3">
        <v>1.0819952625404662E-3</v>
      </c>
      <c r="Y71" s="3">
        <v>-8.29980075088603E-4</v>
      </c>
      <c r="Z71" s="3">
        <v>-3.5971223021581968E-3</v>
      </c>
      <c r="AA71" s="3">
        <v>4.5377495124944295E-3</v>
      </c>
      <c r="AB71" s="3">
        <v>-8.203626056905812E-3</v>
      </c>
      <c r="AC71" s="3">
        <v>3.4747011602471706E-2</v>
      </c>
      <c r="AD71" s="3">
        <v>1.1919022690750994E-2</v>
      </c>
      <c r="AE71" s="3">
        <v>-5.4515950269001029E-3</v>
      </c>
      <c r="AF71" s="3">
        <v>-2.5325213643790012E-3</v>
      </c>
      <c r="AG71" s="3">
        <v>2.0231272845738252E-2</v>
      </c>
      <c r="AH71" s="3">
        <v>0</v>
      </c>
      <c r="AI71" s="3">
        <v>6.5719755987652957E-5</v>
      </c>
      <c r="AJ71" s="3">
        <v>-2.8613877019159281E-3</v>
      </c>
      <c r="AK71" s="3">
        <v>2.4844720496894294E-2</v>
      </c>
      <c r="AL71" s="3">
        <v>1.2605452078808522E-2</v>
      </c>
      <c r="AM71" s="3">
        <v>3.6210163606350981E-3</v>
      </c>
      <c r="AN71" s="3">
        <v>1.1800547781073418E-2</v>
      </c>
    </row>
    <row r="72" spans="1:40" x14ac:dyDescent="0.3">
      <c r="A72" s="101">
        <v>44414</v>
      </c>
      <c r="B72" s="3">
        <v>2.8069084429234014E-2</v>
      </c>
      <c r="C72" s="3">
        <v>-2.4949672579026819E-2</v>
      </c>
      <c r="D72" s="3">
        <v>1.3089110734202464E-2</v>
      </c>
      <c r="E72" s="3">
        <v>-1.1211771782082154E-3</v>
      </c>
      <c r="F72" s="3">
        <v>4.0741131930183833E-3</v>
      </c>
      <c r="G72" s="3">
        <v>-1.5111352025365529E-2</v>
      </c>
      <c r="H72" s="3">
        <v>-1.6515556224372062E-3</v>
      </c>
      <c r="I72" s="3">
        <v>0</v>
      </c>
      <c r="J72" s="3">
        <v>-1.256112784465511E-2</v>
      </c>
      <c r="K72" s="3">
        <v>-1.3513513513513545E-2</v>
      </c>
      <c r="L72" s="3">
        <v>4.4147819020058819E-3</v>
      </c>
      <c r="M72" s="3">
        <v>-0.1124625748502994</v>
      </c>
      <c r="N72" s="3">
        <v>-6.5976751482150879E-4</v>
      </c>
      <c r="O72" s="3">
        <v>-1.1014740927707196E-2</v>
      </c>
      <c r="P72" s="3">
        <v>5.9602645717293387E-2</v>
      </c>
      <c r="Q72" s="3">
        <v>2.9761999322639197E-2</v>
      </c>
      <c r="R72" s="3">
        <v>-6.0640159761147009E-4</v>
      </c>
      <c r="S72" s="3">
        <v>2.3744470443443537E-3</v>
      </c>
      <c r="T72" s="3">
        <v>-4.1465471068232642E-3</v>
      </c>
      <c r="U72" s="3">
        <v>-9.3152380082186237E-3</v>
      </c>
      <c r="V72" s="3">
        <v>4.2117998071479867E-2</v>
      </c>
      <c r="W72" s="3">
        <v>3.4491849011860278E-3</v>
      </c>
      <c r="X72" s="3">
        <v>2.5940986854343781E-3</v>
      </c>
      <c r="Y72" s="3">
        <v>-3.7105442433748785E-3</v>
      </c>
      <c r="Z72" s="3">
        <v>-4.512635379061436E-3</v>
      </c>
      <c r="AA72" s="3">
        <v>6.4166188150926076E-2</v>
      </c>
      <c r="AB72" s="3">
        <v>1.3599068170320392E-2</v>
      </c>
      <c r="AC72" s="3">
        <v>8.222347562294606E-2</v>
      </c>
      <c r="AD72" s="3">
        <v>9.8154015372273907E-3</v>
      </c>
      <c r="AE72" s="3">
        <v>0.11172764805501395</v>
      </c>
      <c r="AF72" s="3">
        <v>1.160683850973745E-2</v>
      </c>
      <c r="AG72" s="3">
        <v>-7.3654390934843631E-3</v>
      </c>
      <c r="AH72" s="3">
        <v>2.8834438289977612E-2</v>
      </c>
      <c r="AI72" s="3">
        <v>9.8460392054745176E-4</v>
      </c>
      <c r="AJ72" s="3">
        <v>1.7941717487725858E-4</v>
      </c>
      <c r="AK72" s="3">
        <v>-1.2121212121212133E-2</v>
      </c>
      <c r="AL72" s="3">
        <v>2.7458928723970932E-2</v>
      </c>
      <c r="AM72" s="3">
        <v>0.11608716928764563</v>
      </c>
      <c r="AN72" s="3">
        <v>2.8495565200965613E-2</v>
      </c>
    </row>
    <row r="73" spans="1:40" x14ac:dyDescent="0.3">
      <c r="A73" s="101">
        <v>44417</v>
      </c>
      <c r="B73" s="3">
        <v>-1.9304900950851814E-2</v>
      </c>
      <c r="C73" s="3">
        <v>-2.2286499708930149E-2</v>
      </c>
      <c r="D73" s="3">
        <v>4.6511523755380077E-2</v>
      </c>
      <c r="E73" s="3">
        <v>8.5310787101797788E-3</v>
      </c>
      <c r="F73" s="3">
        <v>-7.6079790032243669E-3</v>
      </c>
      <c r="G73" s="3">
        <v>1.341840658641452E-2</v>
      </c>
      <c r="H73" s="3">
        <v>5.2831696002955736E-3</v>
      </c>
      <c r="I73" s="3">
        <v>-1.5739305493945525E-2</v>
      </c>
      <c r="J73" s="3">
        <v>2.3321616524449928E-2</v>
      </c>
      <c r="K73" s="3">
        <v>-1.8264840182648338E-2</v>
      </c>
      <c r="L73" s="3">
        <v>-1.1211771782082154E-3</v>
      </c>
      <c r="M73" s="3">
        <v>0.15222433059245202</v>
      </c>
      <c r="N73" s="3">
        <v>1.6503531210395047E-2</v>
      </c>
      <c r="O73" s="3">
        <v>-4.5042780702522125E-3</v>
      </c>
      <c r="P73" s="3">
        <v>-4.1666716579858598E-2</v>
      </c>
      <c r="Q73" s="3">
        <v>1.7340947400564542E-2</v>
      </c>
      <c r="R73" s="3">
        <v>-1.3853872993817164E-2</v>
      </c>
      <c r="S73" s="3">
        <v>3.2508370851947105E-2</v>
      </c>
      <c r="T73" s="3">
        <v>1.3879268465409414E-2</v>
      </c>
      <c r="U73" s="3">
        <v>-1.1753680722697135E-2</v>
      </c>
      <c r="V73" s="3">
        <v>-1.6166326545625005E-2</v>
      </c>
      <c r="W73" s="3">
        <v>1.518188968996168E-2</v>
      </c>
      <c r="X73" s="3">
        <v>2.8028675549188328E-3</v>
      </c>
      <c r="Y73" s="3">
        <v>8.2268540820519369E-3</v>
      </c>
      <c r="Z73" s="3">
        <v>2.1758839528558498E-2</v>
      </c>
      <c r="AA73" s="3">
        <v>3.9746082651265793E-2</v>
      </c>
      <c r="AB73" s="3">
        <v>-1.1954422706730271E-2</v>
      </c>
      <c r="AC73" s="3">
        <v>-3.517489671054063E-2</v>
      </c>
      <c r="AD73" s="3">
        <v>-1.3996882148659731E-2</v>
      </c>
      <c r="AE73" s="3">
        <v>-2.0148514853594608E-2</v>
      </c>
      <c r="AF73" s="3">
        <v>1.362496801328647E-2</v>
      </c>
      <c r="AG73" s="3">
        <v>-1.2557134703196341E-2</v>
      </c>
      <c r="AH73" s="3">
        <v>-3.2796751868286178E-2</v>
      </c>
      <c r="AI73" s="3">
        <v>-1.0032845214612066E-2</v>
      </c>
      <c r="AJ73" s="3">
        <v>-6.1868327224115331E-3</v>
      </c>
      <c r="AK73" s="3">
        <v>-3.0674846625766763E-2</v>
      </c>
      <c r="AL73" s="3">
        <v>-1.0923685438324733E-2</v>
      </c>
      <c r="AM73" s="3">
        <v>-3.8828936996987917E-2</v>
      </c>
      <c r="AN73" s="3">
        <v>-1.2159152851862554E-2</v>
      </c>
    </row>
    <row r="74" spans="1:40" x14ac:dyDescent="0.3">
      <c r="A74" s="101">
        <v>44418</v>
      </c>
      <c r="B74" s="3">
        <v>-6.467925649281051E-3</v>
      </c>
      <c r="C74" s="3">
        <v>6.7539886724934679E-3</v>
      </c>
      <c r="D74" s="3">
        <v>4.938512772089552E-3</v>
      </c>
      <c r="E74" s="3">
        <v>-2.4353275653344976E-2</v>
      </c>
      <c r="F74" s="3">
        <v>-5.4175202931614798E-3</v>
      </c>
      <c r="G74" s="3">
        <v>1.6388126852551154E-2</v>
      </c>
      <c r="H74" s="3">
        <v>-3.4036427974345139E-3</v>
      </c>
      <c r="I74" s="3">
        <v>1.0279873672363632E-2</v>
      </c>
      <c r="J74" s="3">
        <v>1.5331321750844696E-2</v>
      </c>
      <c r="K74" s="3">
        <v>-6.9767441860465115E-2</v>
      </c>
      <c r="L74" s="3">
        <v>8.5310787101797788E-3</v>
      </c>
      <c r="M74" s="3">
        <v>-0.44958828911253429</v>
      </c>
      <c r="N74" s="3">
        <v>-2.7059202825937367E-3</v>
      </c>
      <c r="O74" s="3">
        <v>-2.6324573935181369E-3</v>
      </c>
      <c r="P74" s="3">
        <v>-6.7391304347826003E-2</v>
      </c>
      <c r="Q74" s="3">
        <v>-2.556809205731244E-2</v>
      </c>
      <c r="R74" s="3">
        <v>-2.3687415347605684E-2</v>
      </c>
      <c r="S74" s="3">
        <v>0</v>
      </c>
      <c r="T74" s="3">
        <v>6.8448637298179887E-4</v>
      </c>
      <c r="U74" s="3">
        <v>0</v>
      </c>
      <c r="V74" s="3">
        <v>-2.3474143932325584E-2</v>
      </c>
      <c r="W74" s="3">
        <v>3.4706454480690735E-2</v>
      </c>
      <c r="X74" s="3">
        <v>6.8803271073027625E-3</v>
      </c>
      <c r="Y74" s="3">
        <v>-2.4258627625466135E-3</v>
      </c>
      <c r="Z74" s="3">
        <v>1.0647737355811978E-2</v>
      </c>
      <c r="AA74" s="3">
        <v>-1.1323296482412011E-2</v>
      </c>
      <c r="AB74" s="3">
        <v>-1.6199247458014005E-3</v>
      </c>
      <c r="AC74" s="3">
        <v>1.5005899955644231E-3</v>
      </c>
      <c r="AD74" s="3">
        <v>1.3801260251017767E-2</v>
      </c>
      <c r="AE74" s="3">
        <v>7.3802602511010798E-2</v>
      </c>
      <c r="AF74" s="3">
        <v>-9.9045280577246941E-3</v>
      </c>
      <c r="AG74" s="3">
        <v>4.0463586153963813E-3</v>
      </c>
      <c r="AH74" s="3">
        <v>1.356379073901251E-3</v>
      </c>
      <c r="AI74" s="3">
        <v>7.9475166663340755E-4</v>
      </c>
      <c r="AJ74" s="3">
        <v>1.5326130474396144E-2</v>
      </c>
      <c r="AK74" s="3">
        <v>1.8987341772151913E-2</v>
      </c>
      <c r="AL74" s="3">
        <v>6.1676406376635854E-3</v>
      </c>
      <c r="AM74" s="3">
        <v>-4.5224027771904934E-3</v>
      </c>
      <c r="AN74" s="3">
        <v>5.293882352941971E-4</v>
      </c>
    </row>
    <row r="75" spans="1:40" x14ac:dyDescent="0.3">
      <c r="A75" s="101">
        <v>44419</v>
      </c>
      <c r="B75" s="3">
        <v>-2.3209698631518349E-2</v>
      </c>
      <c r="C75" s="3">
        <v>2.1593259723154946E-2</v>
      </c>
      <c r="D75" s="3">
        <v>7.3708645817494173E-3</v>
      </c>
      <c r="E75" s="3">
        <v>3.3585997828340812E-2</v>
      </c>
      <c r="F75" s="3">
        <v>3.5972038361591959E-3</v>
      </c>
      <c r="G75" s="3">
        <v>2.1409476432309525E-2</v>
      </c>
      <c r="H75" s="3">
        <v>-1.7038722659997994E-3</v>
      </c>
      <c r="I75" s="3">
        <v>-1.3001805478145938E-2</v>
      </c>
      <c r="J75" s="3">
        <v>-3.1287732709940914E-3</v>
      </c>
      <c r="K75" s="3">
        <v>3.4999999999999962E-2</v>
      </c>
      <c r="L75" s="3">
        <v>-2.4353275653344976E-2</v>
      </c>
      <c r="M75" s="3">
        <v>-0.39926861702127658</v>
      </c>
      <c r="N75" s="3">
        <v>-2.4961365234235874E-3</v>
      </c>
      <c r="O75" s="3">
        <v>9.0735946662919421E-4</v>
      </c>
      <c r="P75" s="3">
        <v>-6.1771561771561699E-2</v>
      </c>
      <c r="Q75" s="3">
        <v>1.8950343070086126E-2</v>
      </c>
      <c r="R75" s="3">
        <v>2.4052241453855646E-2</v>
      </c>
      <c r="S75" s="3">
        <v>0</v>
      </c>
      <c r="T75" s="3">
        <v>1.231190639661283E-2</v>
      </c>
      <c r="U75" s="3">
        <v>2.0932448997928274E-2</v>
      </c>
      <c r="V75" s="3">
        <v>0</v>
      </c>
      <c r="W75" s="3">
        <v>-5.5902687510340403E-3</v>
      </c>
      <c r="X75" s="3">
        <v>-3.8650478810570994E-2</v>
      </c>
      <c r="Y75" s="3">
        <v>2.2106443880774403E-3</v>
      </c>
      <c r="Z75" s="3">
        <v>-2.1071115013169463E-2</v>
      </c>
      <c r="AA75" s="3">
        <v>0.12568905022620011</v>
      </c>
      <c r="AB75" s="3">
        <v>3.3912191949000074E-2</v>
      </c>
      <c r="AC75" s="3">
        <v>-1.5664101128323887E-3</v>
      </c>
      <c r="AD75" s="3">
        <v>-5.056278953629709E-3</v>
      </c>
      <c r="AE75" s="3">
        <v>3.6447207297174884E-3</v>
      </c>
      <c r="AF75" s="3">
        <v>-5.0017459532554548E-3</v>
      </c>
      <c r="AG75" s="3">
        <v>-1.2089866891774983E-2</v>
      </c>
      <c r="AH75" s="3">
        <v>2.5735670307894563E-2</v>
      </c>
      <c r="AI75" s="3">
        <v>1.1847352902999672E-2</v>
      </c>
      <c r="AJ75" s="3">
        <v>-3.5622125264590716E-3</v>
      </c>
      <c r="AK75" s="3">
        <v>6.2111801242236073E-3</v>
      </c>
      <c r="AL75" s="3">
        <v>-6.2210399920106475E-3</v>
      </c>
      <c r="AM75" s="3">
        <v>1.0822849906769081E-2</v>
      </c>
      <c r="AN75" s="3">
        <v>1.4451220282232108E-2</v>
      </c>
    </row>
    <row r="76" spans="1:40" x14ac:dyDescent="0.3">
      <c r="A76" s="101">
        <v>44420</v>
      </c>
      <c r="B76" s="3">
        <v>1.6806626999738332E-2</v>
      </c>
      <c r="C76" s="3">
        <v>2.0931628785318977E-2</v>
      </c>
      <c r="D76" s="3">
        <v>1.4634113590620963E-2</v>
      </c>
      <c r="E76" s="3">
        <v>2.799108057156631E-2</v>
      </c>
      <c r="F76" s="3">
        <v>2.6625614084014287E-2</v>
      </c>
      <c r="G76" s="3">
        <v>-9.9838169461483918E-3</v>
      </c>
      <c r="H76" s="3">
        <v>-8.1910388377314791E-3</v>
      </c>
      <c r="I76" s="3">
        <v>-2.2908606144246852E-3</v>
      </c>
      <c r="J76" s="3">
        <v>1.4738100563721379E-2</v>
      </c>
      <c r="K76" s="3">
        <v>6.2801932367149801E-2</v>
      </c>
      <c r="L76" s="3">
        <v>3.3585997828340812E-2</v>
      </c>
      <c r="M76" s="3">
        <v>1.8616491422246817</v>
      </c>
      <c r="N76" s="3">
        <v>-9.6835244107259418E-3</v>
      </c>
      <c r="O76" s="3">
        <v>-1.5656983356835846E-3</v>
      </c>
      <c r="P76" s="3">
        <v>1.9254658385093087E-2</v>
      </c>
      <c r="Q76" s="3">
        <v>-1.5736676478351447E-2</v>
      </c>
      <c r="R76" s="3">
        <v>0</v>
      </c>
      <c r="S76" s="3">
        <v>1.003362000242615E-2</v>
      </c>
      <c r="T76" s="3">
        <v>-2.770269048800977E-2</v>
      </c>
      <c r="U76" s="3">
        <v>-1.6309382748373219E-3</v>
      </c>
      <c r="V76" s="3">
        <v>-3.3653836753424572E-2</v>
      </c>
      <c r="W76" s="3">
        <v>-3.0303021069728864E-2</v>
      </c>
      <c r="X76" s="3">
        <v>-8.2185250999556297E-3</v>
      </c>
      <c r="Y76" s="3">
        <v>-4.0806772709976562E-3</v>
      </c>
      <c r="Z76" s="3">
        <v>-2.1524663677130063E-2</v>
      </c>
      <c r="AA76" s="3">
        <v>-4.669690755471987E-2</v>
      </c>
      <c r="AB76" s="3">
        <v>3.9832528355848523E-2</v>
      </c>
      <c r="AC76" s="3">
        <v>7.6398018701308154E-3</v>
      </c>
      <c r="AD76" s="3">
        <v>-5.4731080850901875E-3</v>
      </c>
      <c r="AE76" s="3">
        <v>3.337565214147227E-2</v>
      </c>
      <c r="AF76" s="3">
        <v>-5.3860788674571598E-3</v>
      </c>
      <c r="AG76" s="3">
        <v>-3.9627039627039611E-2</v>
      </c>
      <c r="AH76" s="3">
        <v>1.2004958625404915E-2</v>
      </c>
      <c r="AI76" s="3">
        <v>-8.4379449641348251E-3</v>
      </c>
      <c r="AJ76" s="3">
        <v>2.6365304548526161E-2</v>
      </c>
      <c r="AK76" s="3">
        <v>-1.2345679012345689E-2</v>
      </c>
      <c r="AL76" s="3">
        <v>1.6234441738364143E-2</v>
      </c>
      <c r="AM76" s="3">
        <v>5.0966821704686305E-2</v>
      </c>
      <c r="AN76" s="3">
        <v>1.3955478731588297E-2</v>
      </c>
    </row>
    <row r="77" spans="1:40" x14ac:dyDescent="0.3">
      <c r="A77" s="101">
        <v>44421</v>
      </c>
      <c r="B77" s="3">
        <v>1.9948963534731344E-3</v>
      </c>
      <c r="C77" s="3">
        <v>8.040605045342798E-4</v>
      </c>
      <c r="D77" s="3">
        <v>3.1250053610662638E-2</v>
      </c>
      <c r="E77" s="3">
        <v>3.7794142793364355E-3</v>
      </c>
      <c r="F77" s="3">
        <v>2.2942560331019015E-2</v>
      </c>
      <c r="G77" s="3">
        <v>-5.659979587961337E-2</v>
      </c>
      <c r="H77" s="3">
        <v>6.758142821325263E-3</v>
      </c>
      <c r="I77" s="3">
        <v>1.6647419118099999E-2</v>
      </c>
      <c r="J77" s="3">
        <v>-1.6944741297946951E-2</v>
      </c>
      <c r="K77" s="3">
        <v>-1.3636363636363669E-2</v>
      </c>
      <c r="L77" s="3">
        <v>2.799108057156631E-2</v>
      </c>
      <c r="M77" s="3">
        <v>0.42854380197253916</v>
      </c>
      <c r="N77" s="3">
        <v>-1.7578643444015824E-3</v>
      </c>
      <c r="O77" s="3">
        <v>-8.8313513129797024E-3</v>
      </c>
      <c r="P77" s="3">
        <v>3.5953686776355874E-2</v>
      </c>
      <c r="Q77" s="3">
        <v>-4.3605563661280669E-3</v>
      </c>
      <c r="R77" s="3">
        <v>0</v>
      </c>
      <c r="S77" s="3">
        <v>-4.403979413641386E-2</v>
      </c>
      <c r="T77" s="3">
        <v>-9.0340786025211346E-3</v>
      </c>
      <c r="U77" s="3">
        <v>4.6674013748618627E-3</v>
      </c>
      <c r="V77" s="3">
        <v>-1.2437845400080512E-2</v>
      </c>
      <c r="W77" s="3">
        <v>-3.8178837781809354E-2</v>
      </c>
      <c r="X77" s="3">
        <v>-3.4714533719393814E-2</v>
      </c>
      <c r="Y77" s="3">
        <v>-1.3455193351433305E-2</v>
      </c>
      <c r="Z77" s="3">
        <v>-2.4747937671860638E-2</v>
      </c>
      <c r="AA77" s="3">
        <v>-5.8267563311617525E-2</v>
      </c>
      <c r="AB77" s="3">
        <v>-2.0718547333371157E-2</v>
      </c>
      <c r="AC77" s="3">
        <v>2.3896554130134372E-2</v>
      </c>
      <c r="AD77" s="3">
        <v>1.1792691110848084E-3</v>
      </c>
      <c r="AE77" s="3">
        <v>-5.2992524058849029E-3</v>
      </c>
      <c r="AF77" s="3">
        <v>2.2021565469988347E-2</v>
      </c>
      <c r="AG77" s="3">
        <v>7.2815533980583125E-3</v>
      </c>
      <c r="AH77" s="3">
        <v>-1.5302749792305398E-2</v>
      </c>
      <c r="AI77" s="3">
        <v>4.1757254536499394E-2</v>
      </c>
      <c r="AJ77" s="3">
        <v>1.7067224199655812E-2</v>
      </c>
      <c r="AK77" s="3">
        <v>-2.5000000000000022E-2</v>
      </c>
      <c r="AL77" s="3">
        <v>4.0687428870784186E-2</v>
      </c>
      <c r="AM77" s="3">
        <v>-6.6659978079094328E-3</v>
      </c>
      <c r="AN77" s="3">
        <v>9.2394719554449757E-3</v>
      </c>
    </row>
    <row r="78" spans="1:40" x14ac:dyDescent="0.3">
      <c r="A78" s="101">
        <v>44424</v>
      </c>
      <c r="B78" s="3">
        <v>1.3936354697827997E-2</v>
      </c>
      <c r="C78" s="3">
        <v>3.2134554722178482E-3</v>
      </c>
      <c r="D78" s="3">
        <v>1.1655104167062792E-2</v>
      </c>
      <c r="E78" s="3">
        <v>1.5103484696840776E-2</v>
      </c>
      <c r="F78" s="3">
        <v>1.4627001087034778E-2</v>
      </c>
      <c r="G78" s="3">
        <v>7.779348860843127E-3</v>
      </c>
      <c r="H78" s="3">
        <v>2.4715395616129658E-3</v>
      </c>
      <c r="I78" s="3">
        <v>3.1056053322942392E-2</v>
      </c>
      <c r="J78" s="3">
        <v>-4.2408022361593812E-3</v>
      </c>
      <c r="K78" s="3">
        <v>-4.608294930875478E-3</v>
      </c>
      <c r="L78" s="3">
        <v>3.7794142793364355E-3</v>
      </c>
      <c r="M78" s="3">
        <v>-0.60051441721943954</v>
      </c>
      <c r="N78" s="3">
        <v>1.2766876457023209E-2</v>
      </c>
      <c r="O78" s="3">
        <v>-1.956852052904889E-2</v>
      </c>
      <c r="P78" s="3">
        <v>0</v>
      </c>
      <c r="Q78" s="3">
        <v>-1.8978102287426662E-2</v>
      </c>
      <c r="R78" s="3">
        <v>-6.1539104187808219E-3</v>
      </c>
      <c r="S78" s="3">
        <v>1.0390741402674796E-3</v>
      </c>
      <c r="T78" s="3">
        <v>4.5231381060354112E-2</v>
      </c>
      <c r="U78" s="3">
        <v>7.8977686753272554E-3</v>
      </c>
      <c r="V78" s="3">
        <v>7.5566962571013922E-3</v>
      </c>
      <c r="W78" s="3">
        <v>2.9409680699876863E-4</v>
      </c>
      <c r="X78" s="3">
        <v>9.0488171252350764E-3</v>
      </c>
      <c r="Y78" s="3">
        <v>-1.3694797257616811E-2</v>
      </c>
      <c r="Z78" s="3">
        <v>-1.0338345864661766E-2</v>
      </c>
      <c r="AA78" s="3">
        <v>-9.0238491645341784E-2</v>
      </c>
      <c r="AB78" s="3">
        <v>-8.006072021023497E-2</v>
      </c>
      <c r="AC78" s="3">
        <v>-3.7619851239669364E-2</v>
      </c>
      <c r="AD78" s="3">
        <v>-7.0670286854834117E-3</v>
      </c>
      <c r="AE78" s="3">
        <v>-6.404224176595065E-2</v>
      </c>
      <c r="AF78" s="3">
        <v>-2.1192707898078748E-3</v>
      </c>
      <c r="AG78" s="3">
        <v>-1.6867469879518138E-2</v>
      </c>
      <c r="AH78" s="3">
        <v>-8.5531145950351432E-3</v>
      </c>
      <c r="AI78" s="3">
        <v>-8.5485434429315634E-3</v>
      </c>
      <c r="AJ78" s="3">
        <v>-3.3818591368603788E-2</v>
      </c>
      <c r="AK78" s="3">
        <v>-3.8461538461538491E-2</v>
      </c>
      <c r="AL78" s="3">
        <v>-5.0015020135452282E-2</v>
      </c>
      <c r="AM78" s="3">
        <v>-4.9001565872508659E-2</v>
      </c>
      <c r="AN78" s="3">
        <v>-4.6284111237143766E-2</v>
      </c>
    </row>
    <row r="79" spans="1:40" x14ac:dyDescent="0.3">
      <c r="A79" s="101">
        <v>44425</v>
      </c>
      <c r="B79" s="3">
        <v>5.3015416560545689E-2</v>
      </c>
      <c r="C79" s="3">
        <v>-1.6816753269135076E-2</v>
      </c>
      <c r="D79" s="3">
        <v>-2.9283053227243526E-2</v>
      </c>
      <c r="E79" s="3">
        <v>2.8661494321365324E-3</v>
      </c>
      <c r="F79" s="3">
        <v>-3.4598632512427341E-2</v>
      </c>
      <c r="G79" s="3">
        <v>4.3372009198622441E-2</v>
      </c>
      <c r="H79" s="3">
        <v>2.1869071637206296E-3</v>
      </c>
      <c r="I79" s="3">
        <v>-2.792990710808381E-2</v>
      </c>
      <c r="J79" s="3">
        <v>1.3738693011976491E-3</v>
      </c>
      <c r="K79" s="3">
        <v>-4.6296296296296953E-3</v>
      </c>
      <c r="L79" s="3">
        <v>1.5103484696840776E-2</v>
      </c>
      <c r="M79" s="3">
        <v>-0.17993900372754998</v>
      </c>
      <c r="N79" s="3">
        <v>1.4130136056060667E-3</v>
      </c>
      <c r="O79" s="3">
        <v>2.8877127131573077E-3</v>
      </c>
      <c r="P79" s="3">
        <v>2.6470647058823547E-2</v>
      </c>
      <c r="Q79" s="3">
        <v>-1.3392763642841152E-2</v>
      </c>
      <c r="R79" s="3">
        <v>1.1145497509164279E-2</v>
      </c>
      <c r="S79" s="3">
        <v>0</v>
      </c>
      <c r="T79" s="3">
        <v>-4.931224709758085E-2</v>
      </c>
      <c r="U79" s="3">
        <v>-8.2967663587179673E-3</v>
      </c>
      <c r="V79" s="3">
        <v>1.4999934676594918E-2</v>
      </c>
      <c r="W79" s="3">
        <v>-3.1158164861634891E-2</v>
      </c>
      <c r="X79" s="3">
        <v>-2.3683673318754817E-2</v>
      </c>
      <c r="Y79" s="3">
        <v>-4.0858095734549474E-2</v>
      </c>
      <c r="Z79" s="3">
        <v>-1.8993352326685593E-2</v>
      </c>
      <c r="AA79" s="3">
        <v>2.7813242149847879E-2</v>
      </c>
      <c r="AB79" s="3">
        <v>6.6184913279801916E-4</v>
      </c>
      <c r="AC79" s="3">
        <v>-2.8819676230071475E-2</v>
      </c>
      <c r="AD79" s="3">
        <v>2.8469646222455337E-2</v>
      </c>
      <c r="AE79" s="3">
        <v>-4.188130767697934E-2</v>
      </c>
      <c r="AF79" s="3">
        <v>1.7699077371804952E-2</v>
      </c>
      <c r="AG79" s="3">
        <v>3.0637867647057711E-3</v>
      </c>
      <c r="AH79" s="3">
        <v>-3.5844331107920589E-2</v>
      </c>
      <c r="AI79" s="3">
        <v>-1.0858487806651824E-3</v>
      </c>
      <c r="AJ79" s="3">
        <v>-3.9873712930485793E-3</v>
      </c>
      <c r="AK79" s="3">
        <v>1.3333333333333345E-2</v>
      </c>
      <c r="AL79" s="3">
        <v>-3.0940906631307358E-2</v>
      </c>
      <c r="AM79" s="3">
        <v>-1.8449856395625325E-2</v>
      </c>
      <c r="AN79" s="3">
        <v>-2.1787358258456978E-2</v>
      </c>
    </row>
    <row r="80" spans="1:40" x14ac:dyDescent="0.3">
      <c r="A80" s="101">
        <v>44426</v>
      </c>
      <c r="B80" s="3">
        <v>-1.3851901248496562E-2</v>
      </c>
      <c r="C80" s="3">
        <v>-6.9232216178689993E-3</v>
      </c>
      <c r="D80" s="3">
        <v>1.4251820560450972E-2</v>
      </c>
      <c r="E80" s="3">
        <v>3.6145214549925662E-2</v>
      </c>
      <c r="F80" s="3">
        <v>1.0452904328520422E-2</v>
      </c>
      <c r="G80" s="3">
        <v>-1.2774158697728431E-2</v>
      </c>
      <c r="H80" s="3">
        <v>2.4750894825598569E-3</v>
      </c>
      <c r="I80" s="3">
        <v>-8.4507025995304245E-3</v>
      </c>
      <c r="J80" s="3">
        <v>8.7801887541791839E-3</v>
      </c>
      <c r="K80" s="3">
        <v>2.3255813953488372E-2</v>
      </c>
      <c r="L80" s="3">
        <v>2.8661494321365324E-3</v>
      </c>
      <c r="M80" s="3">
        <v>1.1326446280991735</v>
      </c>
      <c r="N80" s="3">
        <v>-1.801437200839507E-2</v>
      </c>
      <c r="O80" s="3">
        <v>1.3296059479491189E-2</v>
      </c>
      <c r="P80" s="3">
        <v>-3.6103207100102744E-2</v>
      </c>
      <c r="Q80" s="3">
        <v>-3.1674204946730102E-2</v>
      </c>
      <c r="R80" s="3">
        <v>-3.2455528970625709E-2</v>
      </c>
      <c r="S80" s="3">
        <v>2.4222157698284555E-3</v>
      </c>
      <c r="T80" s="3">
        <v>-1.5172972479477454E-2</v>
      </c>
      <c r="U80" s="3">
        <v>-2.4634013119981459E-2</v>
      </c>
      <c r="V80" s="3">
        <v>4.9262279178047081E-3</v>
      </c>
      <c r="W80" s="3">
        <v>-8.7985598148011789E-3</v>
      </c>
      <c r="X80" s="3">
        <v>-1.6486104957279975E-3</v>
      </c>
      <c r="Y80" s="3">
        <v>-2.307919863994317E-2</v>
      </c>
      <c r="Z80" s="3">
        <v>-5.4211035818005855E-2</v>
      </c>
      <c r="AA80" s="3">
        <v>-0.21062823851651982</v>
      </c>
      <c r="AB80" s="3">
        <v>-6.7294879995945314E-2</v>
      </c>
      <c r="AC80" s="3">
        <v>-4.092245799827729E-2</v>
      </c>
      <c r="AD80" s="3">
        <v>-2.537491577448258E-2</v>
      </c>
      <c r="AE80" s="3">
        <v>1.7009573709972674E-2</v>
      </c>
      <c r="AF80" s="3">
        <v>-1.3912116946201447E-3</v>
      </c>
      <c r="AG80" s="3">
        <v>-1.8326816229271223E-3</v>
      </c>
      <c r="AH80" s="3">
        <v>1.4492666632270107E-2</v>
      </c>
      <c r="AI80" s="3">
        <v>-2.4872147062185705E-2</v>
      </c>
      <c r="AJ80" s="3">
        <v>2.8468475082484182E-3</v>
      </c>
      <c r="AK80" s="3">
        <v>-6.5789473684210583E-3</v>
      </c>
      <c r="AL80" s="3">
        <v>-3.6862717798101387E-2</v>
      </c>
      <c r="AM80" s="3">
        <v>-1.7498302896966592E-2</v>
      </c>
      <c r="AN80" s="3">
        <v>-4.3944363041363739E-2</v>
      </c>
    </row>
    <row r="81" spans="1:40" x14ac:dyDescent="0.3">
      <c r="A81" s="101">
        <v>44427</v>
      </c>
      <c r="B81" s="3">
        <v>2.1880072660218967E-2</v>
      </c>
      <c r="C81" s="3">
        <v>-2.0505954306226852E-3</v>
      </c>
      <c r="D81" s="3">
        <v>4.6839329480120682E-3</v>
      </c>
      <c r="E81" s="3">
        <v>-1.6265798139821496E-2</v>
      </c>
      <c r="F81" s="3">
        <v>-5.9113256676610691E-3</v>
      </c>
      <c r="G81" s="3">
        <v>7.7366866020419839E-2</v>
      </c>
      <c r="H81" s="3">
        <v>-7.4931063421643823E-5</v>
      </c>
      <c r="I81" s="3">
        <v>-2.5568176857223245E-2</v>
      </c>
      <c r="J81" s="3">
        <v>3.8081660442052848E-3</v>
      </c>
      <c r="K81" s="3">
        <v>-9.0909090909090592E-3</v>
      </c>
      <c r="L81" s="3">
        <v>3.6145214549925662E-2</v>
      </c>
      <c r="M81" s="3">
        <v>0.154233675644255</v>
      </c>
      <c r="N81" s="3">
        <v>-1.082984677338736E-2</v>
      </c>
      <c r="O81" s="3">
        <v>-5.1817710604038277E-3</v>
      </c>
      <c r="P81" s="3">
        <v>4.5778834720570726E-2</v>
      </c>
      <c r="Q81" s="3">
        <v>6.2305296404917138E-3</v>
      </c>
      <c r="R81" s="3">
        <v>-1.8143475868611016E-2</v>
      </c>
      <c r="S81" s="3">
        <v>-9.3200632770328636E-3</v>
      </c>
      <c r="T81" s="3">
        <v>-7.1657711350399161E-4</v>
      </c>
      <c r="U81" s="3">
        <v>4.0504625436714762E-3</v>
      </c>
      <c r="V81" s="3">
        <v>4.901869174430154E-3</v>
      </c>
      <c r="W81" s="3">
        <v>1.836579353759976E-3</v>
      </c>
      <c r="X81" s="3">
        <v>7.54895040219275E-3</v>
      </c>
      <c r="Y81" s="3">
        <v>2.4778336577715682E-2</v>
      </c>
      <c r="Z81" s="3">
        <v>1.9447287615148544E-2</v>
      </c>
      <c r="AA81" s="3">
        <v>0.10923348778050333</v>
      </c>
      <c r="AB81" s="3">
        <v>3.9886446543176218E-2</v>
      </c>
      <c r="AC81" s="3">
        <v>9.4409092869020966E-3</v>
      </c>
      <c r="AD81" s="3">
        <v>-2.3667010112830567E-3</v>
      </c>
      <c r="AE81" s="3">
        <v>-8.9160176807472589E-3</v>
      </c>
      <c r="AF81" s="3">
        <v>0</v>
      </c>
      <c r="AG81" s="3">
        <v>6.1200122399020134E-3</v>
      </c>
      <c r="AH81" s="3">
        <v>3.2298230161018925E-2</v>
      </c>
      <c r="AI81" s="3">
        <v>3.3243784511702269E-2</v>
      </c>
      <c r="AJ81" s="3">
        <v>1.9340010673322153E-2</v>
      </c>
      <c r="AK81" s="3">
        <v>0</v>
      </c>
      <c r="AL81" s="3">
        <v>1.603379056289567E-2</v>
      </c>
      <c r="AM81" s="3">
        <v>-1.347084365149165E-2</v>
      </c>
      <c r="AN81" s="3">
        <v>3.7706625410646219E-2</v>
      </c>
    </row>
    <row r="82" spans="1:40" x14ac:dyDescent="0.3">
      <c r="A82" s="101">
        <v>44428</v>
      </c>
      <c r="B82" s="3">
        <v>1.8239419674911321E-2</v>
      </c>
      <c r="C82" s="3">
        <v>1.3766318925133884E-2</v>
      </c>
      <c r="D82" s="3">
        <v>2.3309292582564113E-3</v>
      </c>
      <c r="E82" s="3">
        <v>2.0204358778485813E-3</v>
      </c>
      <c r="F82" s="3">
        <v>-1.3577792950047646E-2</v>
      </c>
      <c r="G82" s="3">
        <v>0.12735823822891218</v>
      </c>
      <c r="H82" s="3">
        <v>3.1173658258770902E-3</v>
      </c>
      <c r="I82" s="3">
        <v>1.2827930030363146E-2</v>
      </c>
      <c r="J82" s="3">
        <v>-2.7094386182776359E-3</v>
      </c>
      <c r="K82" s="3">
        <v>-4.5871559633028176E-3</v>
      </c>
      <c r="L82" s="3">
        <v>-1.6265798139821496E-2</v>
      </c>
      <c r="M82" s="3">
        <v>-0.70857814336075209</v>
      </c>
      <c r="N82" s="3">
        <v>1.0836824842620276E-2</v>
      </c>
      <c r="O82" s="3">
        <v>-8.7373180713628748E-3</v>
      </c>
      <c r="P82" s="3">
        <v>-1.1370096645821248E-3</v>
      </c>
      <c r="Q82" s="3">
        <v>1.5480855525384501E-3</v>
      </c>
      <c r="R82" s="3">
        <v>6.3493703351098704E-2</v>
      </c>
      <c r="S82" s="3">
        <v>0</v>
      </c>
      <c r="T82" s="3">
        <v>5.736801225913182E-3</v>
      </c>
      <c r="U82" s="3">
        <v>2.6340760866462851E-2</v>
      </c>
      <c r="V82" s="3">
        <v>1.2194633855276899E-3</v>
      </c>
      <c r="W82" s="3">
        <v>1.4207151807022421E-2</v>
      </c>
      <c r="X82" s="3">
        <v>3.722781637152453E-2</v>
      </c>
      <c r="Y82" s="3">
        <v>1.3511905490342991E-2</v>
      </c>
      <c r="Z82" s="3">
        <v>3.1124497991967742E-2</v>
      </c>
      <c r="AA82" s="3">
        <v>1.3814587578207664E-2</v>
      </c>
      <c r="AB82" s="3">
        <v>-3.2645769634520996E-2</v>
      </c>
      <c r="AC82" s="3">
        <v>-2.0568482315620185E-2</v>
      </c>
      <c r="AD82" s="3">
        <v>-1.4234949884891645E-2</v>
      </c>
      <c r="AE82" s="3">
        <v>-1.0795328673329843E-2</v>
      </c>
      <c r="AF82" s="3">
        <v>2.0550302763051934E-2</v>
      </c>
      <c r="AG82" s="3">
        <v>-1.0948965270744035E-2</v>
      </c>
      <c r="AH82" s="3">
        <v>2.8880825483504596E-2</v>
      </c>
      <c r="AI82" s="3">
        <v>1.1803549942982949E-2</v>
      </c>
      <c r="AJ82" s="3">
        <v>-9.5744247677052711E-4</v>
      </c>
      <c r="AK82" s="3">
        <v>-1.3245033112582794E-2</v>
      </c>
      <c r="AL82" s="3">
        <v>-1.6018420511766454E-2</v>
      </c>
      <c r="AM82" s="3">
        <v>-3.902514828755016E-2</v>
      </c>
      <c r="AN82" s="3">
        <v>-2.8605450723223673E-2</v>
      </c>
    </row>
    <row r="83" spans="1:40" x14ac:dyDescent="0.3">
      <c r="A83" s="101">
        <v>44431</v>
      </c>
      <c r="B83" s="3">
        <v>2.492213188059356E-2</v>
      </c>
      <c r="C83" s="3">
        <v>8.3096297116391406E-3</v>
      </c>
      <c r="D83" s="3">
        <v>2.32550866207544E-3</v>
      </c>
      <c r="E83" s="3">
        <v>3.8270174730455687E-3</v>
      </c>
      <c r="F83" s="3">
        <v>2.2807179862859205E-2</v>
      </c>
      <c r="G83" s="3">
        <v>2.6677885416716493E-2</v>
      </c>
      <c r="H83" s="3">
        <v>-2.7266886793858504E-4</v>
      </c>
      <c r="I83" s="3">
        <v>4.8359221427947567E-2</v>
      </c>
      <c r="J83" s="3">
        <v>-3.3964178154923231E-3</v>
      </c>
      <c r="K83" s="3">
        <v>1.3824884792626762E-2</v>
      </c>
      <c r="L83" s="3">
        <v>2.0204358778485813E-3</v>
      </c>
      <c r="M83" s="3">
        <v>6.5668202764976952E-2</v>
      </c>
      <c r="N83" s="3">
        <v>-6.2996457620781319E-3</v>
      </c>
      <c r="O83" s="3">
        <v>1.5763958809285984E-2</v>
      </c>
      <c r="P83" s="3">
        <v>-1.0813944223107498E-2</v>
      </c>
      <c r="Q83" s="3">
        <v>-2.1638522736645384E-2</v>
      </c>
      <c r="R83" s="3">
        <v>0</v>
      </c>
      <c r="S83" s="3">
        <v>0</v>
      </c>
      <c r="T83" s="3">
        <v>1.2121229840190579E-2</v>
      </c>
      <c r="U83" s="3">
        <v>-1.5260047594452108E-2</v>
      </c>
      <c r="V83" s="3">
        <v>6.0902036405972113E-3</v>
      </c>
      <c r="W83" s="3">
        <v>6.7780799795066548E-3</v>
      </c>
      <c r="X83" s="3">
        <v>-1.3995463069875012E-2</v>
      </c>
      <c r="Y83" s="3">
        <v>1.5963021495426933E-2</v>
      </c>
      <c r="Z83" s="3">
        <v>1.363193768257065E-2</v>
      </c>
      <c r="AA83" s="3">
        <v>3.7162627542111732E-3</v>
      </c>
      <c r="AB83" s="3">
        <v>-1.312891816581244E-2</v>
      </c>
      <c r="AC83" s="3">
        <v>-5.5205752623458228E-3</v>
      </c>
      <c r="AD83" s="3">
        <v>4.8133175109984763E-3</v>
      </c>
      <c r="AE83" s="3">
        <v>-2.4962336616127255E-2</v>
      </c>
      <c r="AF83" s="3">
        <v>-6.8252969864249897E-4</v>
      </c>
      <c r="AG83" s="3">
        <v>2.0295202952029412E-2</v>
      </c>
      <c r="AH83" s="3">
        <v>8.7720733008768044E-3</v>
      </c>
      <c r="AI83" s="3">
        <v>1.1728553804878982E-2</v>
      </c>
      <c r="AJ83" s="3">
        <v>2.7964037905683022E-2</v>
      </c>
      <c r="AK83" s="3">
        <v>-2.6845637583892641E-2</v>
      </c>
      <c r="AL83" s="3">
        <v>-7.3758177406515035E-3</v>
      </c>
      <c r="AM83" s="3">
        <v>2.8293547823213016E-3</v>
      </c>
      <c r="AN83" s="3">
        <v>-1.8547314139234269E-2</v>
      </c>
    </row>
    <row r="84" spans="1:40" x14ac:dyDescent="0.3">
      <c r="A84" s="101">
        <v>44432</v>
      </c>
      <c r="B84" s="3">
        <v>-1.2411220302023011E-2</v>
      </c>
      <c r="C84" s="3">
        <v>-2.8140637705675414E-2</v>
      </c>
      <c r="D84" s="3">
        <v>-8.8167138923368166E-2</v>
      </c>
      <c r="E84" s="3">
        <v>1.2994892841315407E-2</v>
      </c>
      <c r="F84" s="3">
        <v>2.0628765156114549E-2</v>
      </c>
      <c r="G84" s="3">
        <v>2.0623481967937961E-2</v>
      </c>
      <c r="H84" s="3">
        <v>1.0797643199539091E-3</v>
      </c>
      <c r="I84" s="3">
        <v>2.7457456321020361E-2</v>
      </c>
      <c r="J84" s="3">
        <v>-3.5442964230374082E-3</v>
      </c>
      <c r="K84" s="3">
        <v>-9.0909090909090592E-3</v>
      </c>
      <c r="L84" s="3">
        <v>3.8270174730455687E-3</v>
      </c>
      <c r="M84" s="3">
        <v>0.32486486486486488</v>
      </c>
      <c r="N84" s="3">
        <v>2.2911700466584917E-2</v>
      </c>
      <c r="O84" s="3">
        <v>1.5269100766229809E-2</v>
      </c>
      <c r="P84" s="3">
        <v>-3.9125318706865357E-2</v>
      </c>
      <c r="Q84" s="3">
        <v>2.6856239263579672E-2</v>
      </c>
      <c r="R84" s="3">
        <v>1.0102005061394713E-2</v>
      </c>
      <c r="S84" s="3">
        <v>2.1602879631885129E-2</v>
      </c>
      <c r="T84" s="3">
        <v>-3.5226694757510394E-4</v>
      </c>
      <c r="U84" s="3">
        <v>1.1270268832603144E-2</v>
      </c>
      <c r="V84" s="3">
        <v>3.0266272999529491E-2</v>
      </c>
      <c r="W84" s="3">
        <v>-1.3464893831706307E-2</v>
      </c>
      <c r="X84" s="3">
        <v>-1.5567765567765561E-2</v>
      </c>
      <c r="Y84" s="3">
        <v>-1.2431677697841649E-2</v>
      </c>
      <c r="Z84" s="3">
        <v>-1.3448607108549527E-2</v>
      </c>
      <c r="AA84" s="3">
        <v>0.12583177118209543</v>
      </c>
      <c r="AB84" s="3">
        <v>3.0000077432790571E-2</v>
      </c>
      <c r="AC84" s="3">
        <v>-1.7253329803083041E-3</v>
      </c>
      <c r="AD84" s="3">
        <v>1.1576882311011179E-2</v>
      </c>
      <c r="AE84" s="3">
        <v>1.4601755421251266E-2</v>
      </c>
      <c r="AF84" s="3">
        <v>2.3760243211048398E-2</v>
      </c>
      <c r="AG84" s="3">
        <v>3.9180229053646688E-2</v>
      </c>
      <c r="AH84" s="3">
        <v>4.6956413645337411E-2</v>
      </c>
      <c r="AI84" s="3">
        <v>1.7171841888590594E-2</v>
      </c>
      <c r="AJ84" s="3">
        <v>1.0847546393704754E-2</v>
      </c>
      <c r="AK84" s="3">
        <v>-3.4482758620689689E-2</v>
      </c>
      <c r="AL84" s="3">
        <v>-9.4699875268282557E-4</v>
      </c>
      <c r="AM84" s="3">
        <v>-1.1970186527747525E-2</v>
      </c>
      <c r="AN84" s="3">
        <v>-4.2519846399810312E-3</v>
      </c>
    </row>
    <row r="85" spans="1:40" x14ac:dyDescent="0.3">
      <c r="A85" s="101">
        <v>44433</v>
      </c>
      <c r="B85" s="3">
        <v>6.4119072053971929E-3</v>
      </c>
      <c r="C85" s="3">
        <v>-7.2388949286563531E-2</v>
      </c>
      <c r="D85" s="3">
        <v>1.2722769004631349E-2</v>
      </c>
      <c r="E85" s="3">
        <v>1.1088406572138595E-2</v>
      </c>
      <c r="F85" s="3">
        <v>-1.0105910131270495E-2</v>
      </c>
      <c r="G85" s="3">
        <v>2.4146390952693289E-2</v>
      </c>
      <c r="H85" s="3">
        <v>-2.3773979249085567E-3</v>
      </c>
      <c r="I85" s="3">
        <v>6.4136871085785321E-2</v>
      </c>
      <c r="J85" s="3">
        <v>-2.4621922617879544E-3</v>
      </c>
      <c r="K85" s="3">
        <v>-3.2110091743119233E-2</v>
      </c>
      <c r="L85" s="3">
        <v>1.2994892841315407E-2</v>
      </c>
      <c r="M85" s="3">
        <v>1.0603835169318645</v>
      </c>
      <c r="N85" s="3">
        <v>1.0546962649786717E-2</v>
      </c>
      <c r="O85" s="3">
        <v>-5.0130857904937065E-3</v>
      </c>
      <c r="P85" s="3">
        <v>-5.9880834737673907E-3</v>
      </c>
      <c r="Q85" s="3">
        <v>1.5385606269823593E-3</v>
      </c>
      <c r="R85" s="3">
        <v>-1.9801942253289066E-2</v>
      </c>
      <c r="S85" s="3">
        <v>1.0572531707280495E-3</v>
      </c>
      <c r="T85" s="3">
        <v>3.2064915667785805E-2</v>
      </c>
      <c r="U85" s="3">
        <v>1.4859489746154772E-2</v>
      </c>
      <c r="V85" s="3">
        <v>8.2256908704406613E-3</v>
      </c>
      <c r="W85" s="3">
        <v>8.7957782301464876E-3</v>
      </c>
      <c r="X85" s="3">
        <v>4.6511627906984016E-4</v>
      </c>
      <c r="Y85" s="3">
        <v>1.3345818832002289E-2</v>
      </c>
      <c r="Z85" s="3">
        <v>1.9474196689386668E-2</v>
      </c>
      <c r="AA85" s="3">
        <v>7.1826848600888102E-2</v>
      </c>
      <c r="AB85" s="3">
        <v>1.560306878801929E-3</v>
      </c>
      <c r="AC85" s="3">
        <v>2.3558215823217304E-2</v>
      </c>
      <c r="AD85" s="3">
        <v>7.892707360068545E-3</v>
      </c>
      <c r="AE85" s="3">
        <v>6.8408091508478833E-2</v>
      </c>
      <c r="AF85" s="3">
        <v>1.3454308745156561E-2</v>
      </c>
      <c r="AG85" s="3">
        <v>-2.7262180974477895E-2</v>
      </c>
      <c r="AH85" s="3">
        <v>-2.7131859066418341E-2</v>
      </c>
      <c r="AI85" s="3">
        <v>6.2774331477502823E-3</v>
      </c>
      <c r="AJ85" s="3">
        <v>-8.3911158012704568E-5</v>
      </c>
      <c r="AK85" s="3">
        <v>0</v>
      </c>
      <c r="AL85" s="3">
        <v>1.4585883362614516E-2</v>
      </c>
      <c r="AM85" s="3">
        <v>4.1426908801349818E-2</v>
      </c>
      <c r="AN85" s="3">
        <v>1.7131999452988621E-2</v>
      </c>
    </row>
    <row r="86" spans="1:40" x14ac:dyDescent="0.3">
      <c r="A86" s="101">
        <v>44434</v>
      </c>
      <c r="B86" s="3">
        <v>5.8612452233589808E-3</v>
      </c>
      <c r="C86" s="3">
        <v>-1.0702294897062039E-2</v>
      </c>
      <c r="D86" s="3">
        <v>5.024968693139475E-3</v>
      </c>
      <c r="E86" s="3">
        <v>-1.7370536725786822E-2</v>
      </c>
      <c r="F86" s="3">
        <v>1.4584334770255761E-2</v>
      </c>
      <c r="G86" s="3">
        <v>4.549991821434343E-3</v>
      </c>
      <c r="H86" s="3">
        <v>4.388278470499777E-3</v>
      </c>
      <c r="I86" s="3">
        <v>4.0180257501896662E-3</v>
      </c>
      <c r="J86" s="3">
        <v>-1.2205246935880121E-2</v>
      </c>
      <c r="K86" s="3">
        <v>-9.4786729857821248E-3</v>
      </c>
      <c r="L86" s="3">
        <v>1.1088406572138595E-2</v>
      </c>
      <c r="M86" s="3">
        <v>-0.43049504950495049</v>
      </c>
      <c r="N86" s="3">
        <v>-7.5320446296755735E-4</v>
      </c>
      <c r="O86" s="3">
        <v>-6.3600402695759275E-3</v>
      </c>
      <c r="P86" s="3">
        <v>-4.8192771084338455E-3</v>
      </c>
      <c r="Q86" s="3">
        <v>-2.3041473629776717E-2</v>
      </c>
      <c r="R86" s="3">
        <v>0</v>
      </c>
      <c r="S86" s="3">
        <v>3.7137728486915564E-3</v>
      </c>
      <c r="T86" s="3">
        <v>-1.9460591850899728E-2</v>
      </c>
      <c r="U86" s="3">
        <v>-1.143897199430564E-2</v>
      </c>
      <c r="V86" s="3">
        <v>-2.3310088485917549E-2</v>
      </c>
      <c r="W86" s="3">
        <v>1.4431890620616712E-2</v>
      </c>
      <c r="X86" s="3">
        <v>5.3463505346349801E-3</v>
      </c>
      <c r="Y86" s="3">
        <v>-5.8661373974540666E-3</v>
      </c>
      <c r="Z86" s="3">
        <v>3.8204393505252288E-3</v>
      </c>
      <c r="AA86" s="3">
        <v>-1.7787300130567008E-2</v>
      </c>
      <c r="AB86" s="3">
        <v>-2.9513727150933963E-2</v>
      </c>
      <c r="AC86" s="3">
        <v>-3.2670228233195091E-2</v>
      </c>
      <c r="AD86" s="3">
        <v>-2.2317965586117004E-2</v>
      </c>
      <c r="AE86" s="3">
        <v>8.7230059643245463E-3</v>
      </c>
      <c r="AF86" s="3">
        <v>1.8254343925877693E-2</v>
      </c>
      <c r="AG86" s="3">
        <v>-8.9444841979726356E-3</v>
      </c>
      <c r="AH86" s="3">
        <v>-7.2851430722274931E-3</v>
      </c>
      <c r="AI86" s="3">
        <v>6.7228033537646672E-3</v>
      </c>
      <c r="AJ86" s="3">
        <v>-5.7013326477797222E-3</v>
      </c>
      <c r="AK86" s="3">
        <v>1.4285714285714299E-2</v>
      </c>
      <c r="AL86" s="3">
        <v>-1.3325215555911537E-2</v>
      </c>
      <c r="AM86" s="3">
        <v>-2.4456148802519145E-2</v>
      </c>
      <c r="AN86" s="3">
        <v>-2.4723341090702636E-2</v>
      </c>
    </row>
    <row r="87" spans="1:40" x14ac:dyDescent="0.3">
      <c r="A87" s="101">
        <v>44435</v>
      </c>
      <c r="B87" s="3">
        <v>-1.2667784899921217E-2</v>
      </c>
      <c r="C87" s="3">
        <v>5.6343969743601575E-3</v>
      </c>
      <c r="D87" s="3">
        <v>-2.4999223152005175E-3</v>
      </c>
      <c r="E87" s="3">
        <v>1.0345749386155172E-2</v>
      </c>
      <c r="F87" s="3">
        <v>1.2937267612694453E-2</v>
      </c>
      <c r="G87" s="3">
        <v>0.10133410153448864</v>
      </c>
      <c r="H87" s="3">
        <v>-1.0838957672194044E-3</v>
      </c>
      <c r="I87" s="3">
        <v>5.0025860335329037E-3</v>
      </c>
      <c r="J87" s="3">
        <v>8.4688060094353819E-3</v>
      </c>
      <c r="K87" s="3">
        <v>3.8277511961722521E-2</v>
      </c>
      <c r="L87" s="3">
        <v>-1.7370536725786822E-2</v>
      </c>
      <c r="M87" s="3">
        <v>-0.4756606397774687</v>
      </c>
      <c r="N87" s="3">
        <v>-1.4644127781338456E-2</v>
      </c>
      <c r="O87" s="3">
        <v>-4.9043682382270406E-3</v>
      </c>
      <c r="P87" s="3">
        <v>-1.8159806295400204E-3</v>
      </c>
      <c r="Q87" s="3">
        <v>4.559748089146759E-2</v>
      </c>
      <c r="R87" s="3">
        <v>-1.0198337187934138E-4</v>
      </c>
      <c r="S87" s="3">
        <v>-5.9403465827755535E-3</v>
      </c>
      <c r="T87" s="3">
        <v>1.3928058305817152E-3</v>
      </c>
      <c r="U87" s="3">
        <v>6.9419330694477099E-4</v>
      </c>
      <c r="V87" s="3">
        <v>2.5059686483681842E-2</v>
      </c>
      <c r="W87" s="3">
        <v>-9.1879813908873464E-3</v>
      </c>
      <c r="X87" s="3">
        <v>1.5028947976878627E-2</v>
      </c>
      <c r="Y87" s="3">
        <v>7.925459863904482E-3</v>
      </c>
      <c r="Z87" s="3">
        <v>0</v>
      </c>
      <c r="AA87" s="3">
        <v>-4.149312050173988E-2</v>
      </c>
      <c r="AB87" s="3">
        <v>-1.5963582152795065E-2</v>
      </c>
      <c r="AC87" s="3">
        <v>-3.3014505021097297E-2</v>
      </c>
      <c r="AD87" s="3">
        <v>-1.601812094336142E-3</v>
      </c>
      <c r="AE87" s="3">
        <v>-3.1295998844167359E-2</v>
      </c>
      <c r="AF87" s="3">
        <v>-1.3689627947663418E-2</v>
      </c>
      <c r="AG87" s="3">
        <v>9.626954896091772E-3</v>
      </c>
      <c r="AH87" s="3">
        <v>2.5111732031832295E-2</v>
      </c>
      <c r="AI87" s="3">
        <v>-2.827500110218757E-3</v>
      </c>
      <c r="AJ87" s="3">
        <v>-1.8804185522816982E-2</v>
      </c>
      <c r="AK87" s="3">
        <v>2.1126760563380302E-2</v>
      </c>
      <c r="AL87" s="3">
        <v>-1.6680926206349568E-2</v>
      </c>
      <c r="AM87" s="3">
        <v>-2.8231251650206162E-2</v>
      </c>
      <c r="AN87" s="3">
        <v>-2.2536668870645267E-2</v>
      </c>
    </row>
    <row r="88" spans="1:40" x14ac:dyDescent="0.3">
      <c r="A88" s="101">
        <v>44438</v>
      </c>
      <c r="B88" s="3">
        <v>-1.2830343197073598E-2</v>
      </c>
      <c r="C88" s="3">
        <v>3.5858807105485146E-3</v>
      </c>
      <c r="D88" s="3">
        <v>2.0050266743643866E-2</v>
      </c>
      <c r="E88" s="3">
        <v>1.1691116224350324E-2</v>
      </c>
      <c r="F88" s="3">
        <v>-2.2705845820882191E-2</v>
      </c>
      <c r="G88" s="3">
        <v>-9.4215762163174684E-3</v>
      </c>
      <c r="H88" s="3">
        <v>4.1091037902941073E-3</v>
      </c>
      <c r="I88" s="3">
        <v>-1.841722445261805E-2</v>
      </c>
      <c r="J88" s="3">
        <v>-1.5418437405896039E-2</v>
      </c>
      <c r="K88" s="3">
        <v>-4.608294930875478E-3</v>
      </c>
      <c r="L88" s="3">
        <v>1.0345749386155172E-2</v>
      </c>
      <c r="M88" s="3">
        <v>5.4416445623342176</v>
      </c>
      <c r="N88" s="3">
        <v>-5.1360179718166893E-3</v>
      </c>
      <c r="O88" s="3">
        <v>-1.1611400675784899E-2</v>
      </c>
      <c r="P88" s="3">
        <v>-3.2747119466343191E-2</v>
      </c>
      <c r="Q88" s="3">
        <v>6.6165406351968617E-2</v>
      </c>
      <c r="R88" s="3">
        <v>3.0611336798323377E-3</v>
      </c>
      <c r="S88" s="3">
        <v>0</v>
      </c>
      <c r="T88" s="3">
        <v>2.0862316446028768E-2</v>
      </c>
      <c r="U88" s="3">
        <v>-9.0193556125344552E-3</v>
      </c>
      <c r="V88" s="3">
        <v>3.4923931181482957E-3</v>
      </c>
      <c r="W88" s="3">
        <v>2.9015940540958424E-2</v>
      </c>
      <c r="X88" s="3">
        <v>-1.0706195412018452E-2</v>
      </c>
      <c r="Y88" s="3">
        <v>1.1364351979896679E-2</v>
      </c>
      <c r="Z88" s="3">
        <v>6.6603235014272393E-3</v>
      </c>
      <c r="AA88" s="3">
        <v>4.4210414879978073E-2</v>
      </c>
      <c r="AB88" s="3">
        <v>-3.1719959748750179E-2</v>
      </c>
      <c r="AC88" s="3">
        <v>-8.9867668828688182E-3</v>
      </c>
      <c r="AD88" s="3">
        <v>-8.4237128913247829E-3</v>
      </c>
      <c r="AE88" s="3">
        <v>-2.5505538659203703E-2</v>
      </c>
      <c r="AF88" s="3">
        <v>-3.3047807898378845E-3</v>
      </c>
      <c r="AG88" s="3">
        <v>-2.264606539653961E-2</v>
      </c>
      <c r="AH88" s="3">
        <v>-6.7113158223460504E-3</v>
      </c>
      <c r="AI88" s="3">
        <v>1.2669393454357151E-3</v>
      </c>
      <c r="AJ88" s="3">
        <v>-1.4609939588739629E-2</v>
      </c>
      <c r="AK88" s="3">
        <v>-6.896551724137937E-3</v>
      </c>
      <c r="AL88" s="3">
        <v>-2.3764164828422127E-2</v>
      </c>
      <c r="AM88" s="3">
        <v>-5.1046574622378555E-4</v>
      </c>
      <c r="AN88" s="3">
        <v>-1.7887907025325413E-2</v>
      </c>
    </row>
    <row r="89" spans="1:40" x14ac:dyDescent="0.3">
      <c r="A89" s="101">
        <v>44439</v>
      </c>
      <c r="B89" s="3">
        <v>1.3517035144873594E-2</v>
      </c>
      <c r="C89" s="3">
        <v>-3.7070080542349122E-2</v>
      </c>
      <c r="D89" s="3">
        <v>1.4742054104930553E-2</v>
      </c>
      <c r="E89" s="3">
        <v>-2.2712748692909224E-3</v>
      </c>
      <c r="F89" s="3">
        <v>1.0648525032570237E-2</v>
      </c>
      <c r="G89" s="3">
        <v>7.1712772747483452E-4</v>
      </c>
      <c r="H89" s="3">
        <v>1.0100747529587599E-3</v>
      </c>
      <c r="I89" s="3">
        <v>-3.0425025106555919E-3</v>
      </c>
      <c r="J89" s="3">
        <v>1.2723548029272858E-2</v>
      </c>
      <c r="K89" s="3">
        <v>0</v>
      </c>
      <c r="L89" s="3">
        <v>1.1691116224350324E-2</v>
      </c>
      <c r="M89" s="3">
        <v>-0.48311715050442661</v>
      </c>
      <c r="N89" s="3">
        <v>9.3364983565592027E-3</v>
      </c>
      <c r="O89" s="3">
        <v>6.2542119070628979E-3</v>
      </c>
      <c r="P89" s="3">
        <v>8.1504702194356744E-3</v>
      </c>
      <c r="Q89" s="3">
        <v>4.231222552724948E-3</v>
      </c>
      <c r="R89" s="3">
        <v>1.7192273431412282E-2</v>
      </c>
      <c r="S89" s="3">
        <v>0</v>
      </c>
      <c r="T89" s="3">
        <v>-2.247957214301273E-2</v>
      </c>
      <c r="U89" s="3">
        <v>4.6674013748618627E-3</v>
      </c>
      <c r="V89" s="3">
        <v>-2.320192296361157E-3</v>
      </c>
      <c r="W89" s="3">
        <v>1.4534752688925307E-2</v>
      </c>
      <c r="X89" s="3">
        <v>8.9799677642182947E-3</v>
      </c>
      <c r="Y89" s="3">
        <v>1.702400477176429E-4</v>
      </c>
      <c r="Z89" s="3">
        <v>-2.930056710775052E-2</v>
      </c>
      <c r="AA89" s="3">
        <v>1.6374511171823102E-2</v>
      </c>
      <c r="AB89" s="3">
        <v>3.0325594756868447E-2</v>
      </c>
      <c r="AC89" s="3">
        <v>-1.7344493792200946E-2</v>
      </c>
      <c r="AD89" s="3">
        <v>-2.022644295224834E-2</v>
      </c>
      <c r="AE89" s="3">
        <v>0.17666857246420786</v>
      </c>
      <c r="AF89" s="3">
        <v>-3.8793138315448665E-2</v>
      </c>
      <c r="AG89" s="3">
        <v>-1.2195060975609651E-2</v>
      </c>
      <c r="AH89" s="3">
        <v>-1.9144198762056638E-2</v>
      </c>
      <c r="AI89" s="3">
        <v>-3.169445566078119E-2</v>
      </c>
      <c r="AJ89" s="3">
        <v>-1.1250555315293446E-2</v>
      </c>
      <c r="AK89" s="3">
        <v>-4.8611111111111001E-2</v>
      </c>
      <c r="AL89" s="3">
        <v>-1.9746670579753021E-2</v>
      </c>
      <c r="AM89" s="3">
        <v>3.7003181830429485E-2</v>
      </c>
      <c r="AN89" s="3">
        <v>1.8816140043629458E-3</v>
      </c>
    </row>
    <row r="90" spans="1:40" x14ac:dyDescent="0.3">
      <c r="A90" s="101">
        <v>44440</v>
      </c>
      <c r="B90" s="3">
        <v>2.5632736890207196E-4</v>
      </c>
      <c r="C90" s="3">
        <v>6.2616351625174498E-3</v>
      </c>
      <c r="D90" s="3">
        <v>-2.1791824895737749E-2</v>
      </c>
      <c r="E90" s="3">
        <v>-5.7112182981263254E-3</v>
      </c>
      <c r="F90" s="3">
        <v>2.6341057329660359E-2</v>
      </c>
      <c r="G90" s="3">
        <v>-2.6212614493515859E-2</v>
      </c>
      <c r="H90" s="3">
        <v>8.0501856736373304E-4</v>
      </c>
      <c r="I90" s="3">
        <v>1.2716155042585902E-2</v>
      </c>
      <c r="J90" s="3">
        <v>1.1459306639244538E-2</v>
      </c>
      <c r="K90" s="3">
        <v>-1.3888888888888921E-2</v>
      </c>
      <c r="L90" s="3">
        <v>-2.2712748692909224E-3</v>
      </c>
      <c r="M90" s="3">
        <v>-0.30810595498904603</v>
      </c>
      <c r="N90" s="3">
        <v>1.7412210091256519E-3</v>
      </c>
      <c r="O90" s="3">
        <v>6.0474451812579768E-3</v>
      </c>
      <c r="P90" s="3">
        <v>-4.9751243781093468E-3</v>
      </c>
      <c r="Q90" s="3">
        <v>5.477527971982514E-2</v>
      </c>
      <c r="R90" s="3">
        <v>3.4103421907665243E-2</v>
      </c>
      <c r="S90" s="3">
        <v>0</v>
      </c>
      <c r="T90" s="3">
        <v>2.090585962555418E-2</v>
      </c>
      <c r="U90" s="3">
        <v>-3.0197046215489605E-3</v>
      </c>
      <c r="V90" s="3">
        <v>1.6279116794073484E-2</v>
      </c>
      <c r="W90" s="3">
        <v>-2.0630272656171865E-2</v>
      </c>
      <c r="X90" s="3">
        <v>-3.8794614331355464E-3</v>
      </c>
      <c r="Y90" s="3">
        <v>1.7192458658861272E-2</v>
      </c>
      <c r="Z90" s="3">
        <v>3.2132424537487839E-2</v>
      </c>
      <c r="AA90" s="3">
        <v>-5.5986942192256299E-2</v>
      </c>
      <c r="AB90" s="3">
        <v>1.5715886173687028E-2</v>
      </c>
      <c r="AC90" s="3">
        <v>2.6596841263675421E-2</v>
      </c>
      <c r="AD90" s="3">
        <v>6.1931772151653233E-3</v>
      </c>
      <c r="AE90" s="3">
        <v>2.6321289141780436E-2</v>
      </c>
      <c r="AF90" s="3">
        <v>1.4487828365248791E-2</v>
      </c>
      <c r="AG90" s="3">
        <v>1.8517900091487717E-3</v>
      </c>
      <c r="AH90" s="3">
        <v>0</v>
      </c>
      <c r="AI90" s="3">
        <v>-8.7113651208049531E-4</v>
      </c>
      <c r="AJ90" s="3">
        <v>3.0872344920397476E-2</v>
      </c>
      <c r="AK90" s="3">
        <v>8.7591240875912316E-2</v>
      </c>
      <c r="AL90" s="3">
        <v>2.3966628804139811E-2</v>
      </c>
      <c r="AM90" s="3">
        <v>7.8383234902432222E-3</v>
      </c>
      <c r="AN90" s="3">
        <v>5.692335377101175E-2</v>
      </c>
    </row>
    <row r="91" spans="1:40" x14ac:dyDescent="0.3">
      <c r="A91" s="101">
        <v>44441</v>
      </c>
      <c r="B91" s="3">
        <v>-4.1025264732620047E-3</v>
      </c>
      <c r="C91" s="3">
        <v>-4.8398294462792327E-3</v>
      </c>
      <c r="D91" s="3">
        <v>1.9802117525061919E-2</v>
      </c>
      <c r="E91" s="3">
        <v>6.3867524281567035E-3</v>
      </c>
      <c r="F91" s="3">
        <v>1.2599196957798455E-2</v>
      </c>
      <c r="G91" s="3">
        <v>2.7498818486395137E-3</v>
      </c>
      <c r="H91" s="3">
        <v>-2.9654231658887373E-5</v>
      </c>
      <c r="I91" s="3">
        <v>-1.0547420504445133E-2</v>
      </c>
      <c r="J91" s="3">
        <v>-3.1394643126199597E-3</v>
      </c>
      <c r="K91" s="3">
        <v>-4.6948356807512406E-3</v>
      </c>
      <c r="L91" s="3">
        <v>-5.7112182981263254E-3</v>
      </c>
      <c r="M91" s="3">
        <v>0.871042026482441</v>
      </c>
      <c r="N91" s="3">
        <v>1.5643580224081764E-2</v>
      </c>
      <c r="O91" s="3">
        <v>-7.5134343213848626E-4</v>
      </c>
      <c r="P91" s="3">
        <v>1.0625000000000107E-2</v>
      </c>
      <c r="Q91" s="3">
        <v>6.6578745563082558E-3</v>
      </c>
      <c r="R91" s="3">
        <v>2.3694392967500508E-2</v>
      </c>
      <c r="S91" s="3">
        <v>-2.475330250017984E-2</v>
      </c>
      <c r="T91" s="3">
        <v>6.8259998224095321E-3</v>
      </c>
      <c r="U91" s="3">
        <v>1.3979464024961518E-2</v>
      </c>
      <c r="V91" s="3">
        <v>-1.6018352168277496E-2</v>
      </c>
      <c r="W91" s="3">
        <v>-9.6549002528636251E-3</v>
      </c>
      <c r="X91" s="3">
        <v>-7.3310420466876558E-3</v>
      </c>
      <c r="Y91" s="3">
        <v>1.3220254069944622E-2</v>
      </c>
      <c r="Z91" s="3">
        <v>-7.5471698113207617E-3</v>
      </c>
      <c r="AA91" s="3">
        <v>-0.10341090860870066</v>
      </c>
      <c r="AB91" s="3">
        <v>-4.1946101856202601E-2</v>
      </c>
      <c r="AC91" s="3">
        <v>-2.2492624141315015E-2</v>
      </c>
      <c r="AD91" s="3">
        <v>-1.3130828088492285E-2</v>
      </c>
      <c r="AE91" s="3">
        <v>-3.3747836504643504E-2</v>
      </c>
      <c r="AF91" s="3">
        <v>-2.0061286197561368E-2</v>
      </c>
      <c r="AG91" s="3">
        <v>-1.2323475046211092E-3</v>
      </c>
      <c r="AH91" s="3">
        <v>4.2479915364776417E-2</v>
      </c>
      <c r="AI91" s="3">
        <v>2.4040750300492676E-2</v>
      </c>
      <c r="AJ91" s="3">
        <v>8.7618703036664219E-2</v>
      </c>
      <c r="AK91" s="3">
        <v>-7.3825503355704758E-2</v>
      </c>
      <c r="AL91" s="3">
        <v>-3.4289641438607403E-2</v>
      </c>
      <c r="AM91" s="3">
        <v>-4.1859289972574099E-2</v>
      </c>
      <c r="AN91" s="3">
        <v>-4.1268890529418241E-2</v>
      </c>
    </row>
    <row r="92" spans="1:40" x14ac:dyDescent="0.3">
      <c r="A92" s="101">
        <v>44442</v>
      </c>
      <c r="B92" s="3">
        <v>7.2090231223342271E-3</v>
      </c>
      <c r="C92" s="3">
        <v>-2.3390505364384442E-2</v>
      </c>
      <c r="D92" s="3">
        <v>-7.2815720044996299E-3</v>
      </c>
      <c r="E92" s="3">
        <v>-1.6205045344080397E-2</v>
      </c>
      <c r="F92" s="3">
        <v>-1.382487437275977E-2</v>
      </c>
      <c r="G92" s="3">
        <v>4.8628799890972518E-2</v>
      </c>
      <c r="H92" s="3">
        <v>-1.3493075531567367E-3</v>
      </c>
      <c r="I92" s="3">
        <v>1.8781621115584308E-2</v>
      </c>
      <c r="J92" s="3">
        <v>3.4231762877987527E-3</v>
      </c>
      <c r="K92" s="3">
        <v>-1.4150943396226448E-2</v>
      </c>
      <c r="L92" s="3">
        <v>6.3867524281567035E-3</v>
      </c>
      <c r="M92" s="3">
        <v>-0.45569230769230767</v>
      </c>
      <c r="N92" s="3">
        <v>2.6740827030267856E-3</v>
      </c>
      <c r="O92" s="3">
        <v>-4.0105126777521842E-3</v>
      </c>
      <c r="P92" s="3">
        <v>-9.2764378478665498E-3</v>
      </c>
      <c r="Q92" s="3">
        <v>-9.2593424514545442E-3</v>
      </c>
      <c r="R92" s="3">
        <v>-1.2753856044724551E-2</v>
      </c>
      <c r="S92" s="3">
        <v>-3.8549916242265848E-3</v>
      </c>
      <c r="T92" s="3">
        <v>3.7966057852163608E-2</v>
      </c>
      <c r="U92" s="3">
        <v>-3.6765319893852003E-3</v>
      </c>
      <c r="V92" s="3">
        <v>-4.0697542934153903E-2</v>
      </c>
      <c r="W92" s="3">
        <v>-2.7474156838346812E-2</v>
      </c>
      <c r="X92" s="3">
        <v>2.2386267141183129E-2</v>
      </c>
      <c r="Y92" s="3">
        <v>-9.028842815617881E-3</v>
      </c>
      <c r="Z92" s="3">
        <v>1.330798479087458E-2</v>
      </c>
      <c r="AA92" s="3">
        <v>1.9534143917514728E-2</v>
      </c>
      <c r="AB92" s="3">
        <v>1.0268817847766809E-2</v>
      </c>
      <c r="AC92" s="3">
        <v>2.0480081592160102E-3</v>
      </c>
      <c r="AD92" s="3">
        <v>-2.9521861800779446E-2</v>
      </c>
      <c r="AE92" s="3">
        <v>-4.7957255006675567E-2</v>
      </c>
      <c r="AF92" s="3">
        <v>1.1450421456942063E-2</v>
      </c>
      <c r="AG92" s="3">
        <v>1.0487354132471058E-2</v>
      </c>
      <c r="AH92" s="3">
        <v>-1.1012131759871742E-3</v>
      </c>
      <c r="AI92" s="3">
        <v>-1.015691375628584E-2</v>
      </c>
      <c r="AJ92" s="3">
        <v>-1.8566723589803793E-2</v>
      </c>
      <c r="AK92" s="3">
        <v>-2.1739130434782469E-2</v>
      </c>
      <c r="AL92" s="3">
        <v>9.2424307132490634E-3</v>
      </c>
      <c r="AM92" s="3">
        <v>5.2485116736314518E-3</v>
      </c>
      <c r="AN92" s="3">
        <v>6.6436835490637329E-3</v>
      </c>
    </row>
    <row r="93" spans="1:40" x14ac:dyDescent="0.3">
      <c r="A93" s="101">
        <v>44445</v>
      </c>
      <c r="B93" s="3">
        <v>1.0224961124718187E-2</v>
      </c>
      <c r="C93" s="3">
        <v>-8.5368489534534374E-3</v>
      </c>
      <c r="D93" s="3">
        <v>1.2224804276340047E-2</v>
      </c>
      <c r="E93" s="3">
        <v>-3.6805749095503021E-2</v>
      </c>
      <c r="F93" s="3">
        <v>4.6729242936330495E-3</v>
      </c>
      <c r="G93" s="3">
        <v>-4.1364250667215968E-2</v>
      </c>
      <c r="H93" s="3">
        <v>6.5737702484000493E-3</v>
      </c>
      <c r="I93" s="3">
        <v>-1.3452882523181843E-2</v>
      </c>
      <c r="J93" s="3">
        <v>2.3199215801318774E-3</v>
      </c>
      <c r="K93" s="3">
        <v>-2.8708133971291766E-2</v>
      </c>
      <c r="L93" s="3">
        <v>-1.6205045344080397E-2</v>
      </c>
      <c r="M93" s="3">
        <v>-5.0593555681175809E-2</v>
      </c>
      <c r="N93" s="3">
        <v>-8.0007378456099319E-3</v>
      </c>
      <c r="O93" s="3">
        <v>-2.6842904680452143E-3</v>
      </c>
      <c r="P93" s="3">
        <v>-1.8726591760299227E-3</v>
      </c>
      <c r="Q93" s="3">
        <v>7.209612816718218E-2</v>
      </c>
      <c r="R93" s="3">
        <v>-9.6650800635896556E-3</v>
      </c>
      <c r="S93" s="3">
        <v>9.1459351494317075E-3</v>
      </c>
      <c r="T93" s="3">
        <v>-1.5349423246656837E-2</v>
      </c>
      <c r="U93" s="3">
        <v>7.1494168849588757E-3</v>
      </c>
      <c r="V93" s="3">
        <v>1.21207261468002E-3</v>
      </c>
      <c r="W93" s="3">
        <v>-2.430038651336263E-3</v>
      </c>
      <c r="X93" s="3">
        <v>-1.1738149249168226E-2</v>
      </c>
      <c r="Y93" s="3">
        <v>3.8892777777779959E-4</v>
      </c>
      <c r="Z93" s="3">
        <v>-1.6885553470919298E-2</v>
      </c>
      <c r="AA93" s="3">
        <v>5.0413854397197311E-2</v>
      </c>
      <c r="AB93" s="3">
        <v>3.7516161125412797E-2</v>
      </c>
      <c r="AC93" s="3">
        <v>2.1199887874002676E-2</v>
      </c>
      <c r="AD93" s="3">
        <v>4.2845156098505468E-3</v>
      </c>
      <c r="AE93" s="3">
        <v>2.3335327910802065E-2</v>
      </c>
      <c r="AF93" s="3">
        <v>1.3036161168445177E-2</v>
      </c>
      <c r="AG93" s="3">
        <v>-7.9364473709675754E-3</v>
      </c>
      <c r="AH93" s="3">
        <v>2.756235551382792E-3</v>
      </c>
      <c r="AI93" s="3">
        <v>4.6698262575998696E-3</v>
      </c>
      <c r="AJ93" s="3">
        <v>-4.1681930761900705E-3</v>
      </c>
      <c r="AK93" s="3">
        <v>4.4444444444444314E-2</v>
      </c>
      <c r="AL93" s="3">
        <v>1.1671355747279224E-2</v>
      </c>
      <c r="AM93" s="3">
        <v>2.0715351038512575E-2</v>
      </c>
      <c r="AN93" s="3">
        <v>2.4948741138307758E-2</v>
      </c>
    </row>
    <row r="94" spans="1:40" x14ac:dyDescent="0.3">
      <c r="A94" s="101">
        <v>44446</v>
      </c>
      <c r="B94" s="3">
        <v>-2.7327920405114847E-2</v>
      </c>
      <c r="C94" s="3">
        <v>2.4396035864599416E-2</v>
      </c>
      <c r="D94" s="3">
        <v>-5.5555541883831841E-2</v>
      </c>
      <c r="E94" s="3">
        <v>-5.2954490883107275E-3</v>
      </c>
      <c r="F94" s="3">
        <v>-1.7674465578350597E-2</v>
      </c>
      <c r="G94" s="3">
        <v>6.6471218532572667E-3</v>
      </c>
      <c r="H94" s="3">
        <v>-9.8460403798275218E-4</v>
      </c>
      <c r="I94" s="3">
        <v>-5.0499178689843258E-4</v>
      </c>
      <c r="J94" s="3">
        <v>7.0796779786140036E-3</v>
      </c>
      <c r="K94" s="3">
        <v>9.8522167487684383E-3</v>
      </c>
      <c r="L94" s="3">
        <v>-3.6805749095503021E-2</v>
      </c>
      <c r="M94" s="3">
        <v>0.51354569812444184</v>
      </c>
      <c r="N94" s="3">
        <v>-3.9789316894237288E-3</v>
      </c>
      <c r="O94" s="3">
        <v>6.7793750089535407E-2</v>
      </c>
      <c r="P94" s="3">
        <v>1.250781738586701E-3</v>
      </c>
      <c r="Q94" s="3">
        <v>2.3661270475620146E-2</v>
      </c>
      <c r="R94" s="3">
        <v>-1.4397597060855668E-2</v>
      </c>
      <c r="S94" s="3">
        <v>-2.6060515497241612E-2</v>
      </c>
      <c r="T94" s="3">
        <v>2.0895479558283563E-2</v>
      </c>
      <c r="U94" s="3">
        <v>-1.2594379076115835E-2</v>
      </c>
      <c r="V94" s="3">
        <v>9.6852571491163643E-3</v>
      </c>
      <c r="W94" s="3">
        <v>6.1509643686004419E-3</v>
      </c>
      <c r="X94" s="3">
        <v>2.7410462023995043E-3</v>
      </c>
      <c r="Y94" s="3">
        <v>-2.0936323948718458E-2</v>
      </c>
      <c r="Z94" s="3">
        <v>-2.003816793893138E-2</v>
      </c>
      <c r="AA94" s="3">
        <v>3.402559312141392E-2</v>
      </c>
      <c r="AB94" s="3">
        <v>2.3868883412487392E-2</v>
      </c>
      <c r="AC94" s="3">
        <v>7.8486772822354226E-3</v>
      </c>
      <c r="AD94" s="3">
        <v>1.5886593930182456E-2</v>
      </c>
      <c r="AE94" s="3">
        <v>2.1158801447742279E-2</v>
      </c>
      <c r="AF94" s="3">
        <v>1.0497722177808597E-2</v>
      </c>
      <c r="AG94" s="3">
        <v>4.8000061538461453E-2</v>
      </c>
      <c r="AH94" s="3">
        <v>-1.6492626118115303E-3</v>
      </c>
      <c r="AI94" s="3">
        <v>1.0397035841360756E-2</v>
      </c>
      <c r="AJ94" s="3">
        <v>7.2435129653212115E-4</v>
      </c>
      <c r="AK94" s="3">
        <v>7.0921985815602905E-3</v>
      </c>
      <c r="AL94" s="3">
        <v>1.3536665187456217E-2</v>
      </c>
      <c r="AM94" s="3">
        <v>1.6090931327752966E-2</v>
      </c>
      <c r="AN94" s="3">
        <v>2.5498114780316179E-2</v>
      </c>
    </row>
    <row r="95" spans="1:40" x14ac:dyDescent="0.3">
      <c r="A95" s="101">
        <v>44447</v>
      </c>
      <c r="B95" s="3">
        <v>-2.7835588146766361E-2</v>
      </c>
      <c r="C95" s="3">
        <v>-2.3114629165812865E-2</v>
      </c>
      <c r="D95" s="3">
        <v>0</v>
      </c>
      <c r="E95" s="3">
        <v>-1.2521396988251051E-2</v>
      </c>
      <c r="F95" s="3">
        <v>-7.5757830190902545E-3</v>
      </c>
      <c r="G95" s="3">
        <v>2.7749228128906931E-2</v>
      </c>
      <c r="H95" s="3">
        <v>4.532904159345469E-3</v>
      </c>
      <c r="I95" s="3">
        <v>-1.5159219822120993E-2</v>
      </c>
      <c r="J95" s="3">
        <v>7.0297946428461216E-3</v>
      </c>
      <c r="K95" s="3">
        <v>-4.8780487804878743E-3</v>
      </c>
      <c r="L95" s="3">
        <v>-5.2954490883107275E-3</v>
      </c>
      <c r="M95" s="3">
        <v>0.43686073957513771</v>
      </c>
      <c r="N95" s="3">
        <v>1.8353418087284959E-3</v>
      </c>
      <c r="O95" s="3">
        <v>-1.9771452379106314E-2</v>
      </c>
      <c r="P95" s="3">
        <v>-1.3116801998750833E-2</v>
      </c>
      <c r="Q95" s="3">
        <v>-6.8126520286737866E-2</v>
      </c>
      <c r="R95" s="3">
        <v>-9.8031400870564702E-4</v>
      </c>
      <c r="S95" s="3">
        <v>4.9354600821272495E-3</v>
      </c>
      <c r="T95" s="3">
        <v>7.4723934512273826E-3</v>
      </c>
      <c r="U95" s="3">
        <v>5.3339387080247663E-3</v>
      </c>
      <c r="V95" s="3">
        <v>-1.1990954595868257E-3</v>
      </c>
      <c r="W95" s="3">
        <v>1.4163829653841274E-2</v>
      </c>
      <c r="X95" s="3">
        <v>3.6446239797437619E-3</v>
      </c>
      <c r="Y95" s="3">
        <v>1.2251865928782692E-2</v>
      </c>
      <c r="Z95" s="3">
        <v>4.8685491723467105E-3</v>
      </c>
      <c r="AA95" s="3">
        <v>-5.0569232930309082E-3</v>
      </c>
      <c r="AB95" s="3">
        <v>-7.5680304942824291E-3</v>
      </c>
      <c r="AC95" s="3">
        <v>1.9352082643623723E-2</v>
      </c>
      <c r="AD95" s="3">
        <v>-1.1834433718599095E-2</v>
      </c>
      <c r="AE95" s="3">
        <v>8.4814110224373622E-3</v>
      </c>
      <c r="AF95" s="3">
        <v>-2.9490582817419897E-2</v>
      </c>
      <c r="AG95" s="3">
        <v>-2.7011213915959158E-2</v>
      </c>
      <c r="AH95" s="3">
        <v>0</v>
      </c>
      <c r="AI95" s="3">
        <v>1.5737051146441383E-3</v>
      </c>
      <c r="AJ95" s="3">
        <v>1.6329012436486424E-2</v>
      </c>
      <c r="AK95" s="3">
        <v>-7.0422535211267668E-3</v>
      </c>
      <c r="AL95" s="3">
        <v>3.2843662984285271E-3</v>
      </c>
      <c r="AM95" s="3">
        <v>5.7678936810503624E-3</v>
      </c>
      <c r="AN95" s="3">
        <v>-9.1901262373946403E-3</v>
      </c>
    </row>
    <row r="96" spans="1:40" x14ac:dyDescent="0.3">
      <c r="A96" s="101">
        <v>44448</v>
      </c>
      <c r="B96" s="3">
        <v>3.7463416117517355E-3</v>
      </c>
      <c r="C96" s="3">
        <v>-9.5602517079032574E-3</v>
      </c>
      <c r="D96" s="3">
        <v>-1.278784507209226E-2</v>
      </c>
      <c r="E96" s="3">
        <v>-2.3850578705029515E-2</v>
      </c>
      <c r="F96" s="3">
        <v>1.1927550539858113E-2</v>
      </c>
      <c r="G96" s="3">
        <v>2.0537765708320277E-2</v>
      </c>
      <c r="H96" s="3">
        <v>-3.2079548461063237E-3</v>
      </c>
      <c r="I96" s="3">
        <v>-8.2092771975770737E-3</v>
      </c>
      <c r="J96" s="3">
        <v>-1.570687797648334E-2</v>
      </c>
      <c r="K96" s="3">
        <v>-2.1568627450980281E-2</v>
      </c>
      <c r="L96" s="3">
        <v>-1.2521396988251051E-2</v>
      </c>
      <c r="M96" s="3">
        <v>-0.19685147159479807</v>
      </c>
      <c r="N96" s="3">
        <v>3.3409273915814049E-3</v>
      </c>
      <c r="O96" s="3">
        <v>2.6599090506640145E-2</v>
      </c>
      <c r="P96" s="3">
        <v>-1.2658227848101333E-2</v>
      </c>
      <c r="Q96" s="3">
        <v>1.566579527628224E-2</v>
      </c>
      <c r="R96" s="3">
        <v>-1.8645759425033197E-2</v>
      </c>
      <c r="S96" s="3">
        <v>0</v>
      </c>
      <c r="T96" s="3">
        <v>-2.8055461352225902E-2</v>
      </c>
      <c r="U96" s="3">
        <v>-1.56862498413032E-2</v>
      </c>
      <c r="V96" s="3">
        <v>1.4405803052189536E-2</v>
      </c>
      <c r="W96" s="3">
        <v>-1.4771691038642284E-2</v>
      </c>
      <c r="X96" s="3">
        <v>5.4470720506792532E-3</v>
      </c>
      <c r="Y96" s="3">
        <v>5.2112067887568709E-3</v>
      </c>
      <c r="Z96" s="3">
        <v>1.9379844961239896E-3</v>
      </c>
      <c r="AA96" s="3">
        <v>2.3719120570991147E-2</v>
      </c>
      <c r="AB96" s="3">
        <v>1.507601013184451E-2</v>
      </c>
      <c r="AC96" s="3">
        <v>4.2012680476280007E-4</v>
      </c>
      <c r="AD96" s="3">
        <v>1.3687136375403534E-2</v>
      </c>
      <c r="AE96" s="3">
        <v>4.9502742574726484E-3</v>
      </c>
      <c r="AF96" s="3">
        <v>-3.280386227060296E-2</v>
      </c>
      <c r="AG96" s="3">
        <v>1.207000603500276E-3</v>
      </c>
      <c r="AH96" s="3">
        <v>1.2114572598262742E-2</v>
      </c>
      <c r="AI96" s="3">
        <v>-1.4141548692786079E-2</v>
      </c>
      <c r="AJ96" s="3">
        <v>-6.4108466473145843E-3</v>
      </c>
      <c r="AK96" s="3">
        <v>-1.4184397163120581E-2</v>
      </c>
      <c r="AL96" s="3">
        <v>1.8381167176616812E-4</v>
      </c>
      <c r="AM96" s="3">
        <v>1.3273056362965803E-2</v>
      </c>
      <c r="AN96" s="3">
        <v>1.2241484338198941E-3</v>
      </c>
    </row>
    <row r="97" spans="1:40" x14ac:dyDescent="0.3">
      <c r="A97" s="101">
        <v>44449</v>
      </c>
      <c r="B97" s="3">
        <v>-1.3596290423603271E-2</v>
      </c>
      <c r="C97" s="3">
        <v>2.7027095438670986E-2</v>
      </c>
      <c r="D97" s="3">
        <v>-7.7717786643891236E-3</v>
      </c>
      <c r="E97" s="3">
        <v>2.1914906331265437E-2</v>
      </c>
      <c r="F97" s="3">
        <v>-1.4145651949657701E-3</v>
      </c>
      <c r="G97" s="3">
        <v>1.2554972477183403E-2</v>
      </c>
      <c r="H97" s="3">
        <v>-4.7186678610792771E-4</v>
      </c>
      <c r="I97" s="3">
        <v>7.7598508607703174E-3</v>
      </c>
      <c r="J97" s="3">
        <v>4.9101687482417822E-3</v>
      </c>
      <c r="K97" s="3">
        <v>-0.13827655310621251</v>
      </c>
      <c r="L97" s="3">
        <v>-2.3850578705029515E-2</v>
      </c>
      <c r="M97" s="3">
        <v>0.28992670870973242</v>
      </c>
      <c r="N97" s="3">
        <v>-4.2963802742998249E-3</v>
      </c>
      <c r="O97" s="3">
        <v>2.2935390111417993E-2</v>
      </c>
      <c r="P97" s="3">
        <v>-1.7948717948717909E-2</v>
      </c>
      <c r="Q97" s="3">
        <v>3.7275065222157053E-2</v>
      </c>
      <c r="R97" s="3">
        <v>-1.9999939610346892E-2</v>
      </c>
      <c r="S97" s="3">
        <v>0</v>
      </c>
      <c r="T97" s="3">
        <v>-1.6588973697761016E-3</v>
      </c>
      <c r="U97" s="3">
        <v>-2.3435938960273046E-3</v>
      </c>
      <c r="V97" s="3">
        <v>-4.7337410100391488E-3</v>
      </c>
      <c r="W97" s="3">
        <v>8.0265761400691218E-3</v>
      </c>
      <c r="X97" s="3">
        <v>5.6433409851769974E-3</v>
      </c>
      <c r="Y97" s="3">
        <v>1.2932761095561417E-2</v>
      </c>
      <c r="Z97" s="3">
        <v>1.257253384912967E-2</v>
      </c>
      <c r="AA97" s="3">
        <v>4.4637751991866363E-2</v>
      </c>
      <c r="AB97" s="3">
        <v>8.4620443175000056E-3</v>
      </c>
      <c r="AC97" s="3">
        <v>1.8060370784124532E-2</v>
      </c>
      <c r="AD97" s="3">
        <v>0</v>
      </c>
      <c r="AE97" s="3">
        <v>6.1122843308429445E-2</v>
      </c>
      <c r="AF97" s="3">
        <v>-1.1781700701460843E-2</v>
      </c>
      <c r="AG97" s="3">
        <v>1.2056057866184811E-3</v>
      </c>
      <c r="AH97" s="3">
        <v>-1.0881313745593963E-2</v>
      </c>
      <c r="AI97" s="3">
        <v>5.7008389074647489E-3</v>
      </c>
      <c r="AJ97" s="3">
        <v>8.7622141569100049E-3</v>
      </c>
      <c r="AK97" s="3">
        <v>1.4388489208633108E-2</v>
      </c>
      <c r="AL97" s="3">
        <v>1.394254161911246E-2</v>
      </c>
      <c r="AM97" s="3">
        <v>5.4956724706431044E-2</v>
      </c>
      <c r="AN97" s="3">
        <v>2.3034754718526368E-2</v>
      </c>
    </row>
    <row r="98" spans="1:40" x14ac:dyDescent="0.3">
      <c r="A98" s="101">
        <v>44452</v>
      </c>
      <c r="B98" s="3">
        <v>-2.1892094551147601E-2</v>
      </c>
      <c r="C98" s="3">
        <v>1.4097148563413614E-3</v>
      </c>
      <c r="D98" s="3">
        <v>1.8276720729568614E-2</v>
      </c>
      <c r="E98" s="3">
        <v>-2.1228652782906143E-2</v>
      </c>
      <c r="F98" s="3">
        <v>1.4165690242036754E-3</v>
      </c>
      <c r="G98" s="3">
        <v>-6.1277992426609799E-2</v>
      </c>
      <c r="H98" s="3">
        <v>-2.0321979825548625E-3</v>
      </c>
      <c r="I98" s="3">
        <v>-8.2134917792508373E-3</v>
      </c>
      <c r="J98" s="3">
        <v>-2.9860707465332553E-3</v>
      </c>
      <c r="K98" s="3">
        <v>8.1395348837209433E-2</v>
      </c>
      <c r="L98" s="3">
        <v>2.1914906331265437E-2</v>
      </c>
      <c r="M98" s="3">
        <v>-9.1966173361522199E-2</v>
      </c>
      <c r="N98" s="3">
        <v>-1.0032304458566788E-2</v>
      </c>
      <c r="O98" s="3">
        <v>-8.876537273180881E-3</v>
      </c>
      <c r="P98" s="3">
        <v>1.7624020887728433E-2</v>
      </c>
      <c r="Q98" s="3">
        <v>-1.6108967223864366E-2</v>
      </c>
      <c r="R98" s="3">
        <v>0</v>
      </c>
      <c r="S98" s="3">
        <v>0</v>
      </c>
      <c r="T98" s="3">
        <v>7.311379288553221E-3</v>
      </c>
      <c r="U98" s="3">
        <v>1.5503903912739505E-2</v>
      </c>
      <c r="V98" s="3">
        <v>1.1890130411430996E-3</v>
      </c>
      <c r="W98" s="3">
        <v>-1.4122447392812291E-2</v>
      </c>
      <c r="X98" s="3">
        <v>-2.4691358578930482E-3</v>
      </c>
      <c r="Y98" s="3">
        <v>1.2657255579765752E-3</v>
      </c>
      <c r="Z98" s="3">
        <v>3.8204393505252288E-3</v>
      </c>
      <c r="AA98" s="3">
        <v>-7.3790692158998708E-2</v>
      </c>
      <c r="AB98" s="3">
        <v>-3.2280049839754153E-2</v>
      </c>
      <c r="AC98" s="3">
        <v>-2.5090960786652614E-2</v>
      </c>
      <c r="AD98" s="3">
        <v>1.7721464087835918E-2</v>
      </c>
      <c r="AE98" s="3">
        <v>-1.6970949724887359E-3</v>
      </c>
      <c r="AF98" s="3">
        <v>1.0476913200490786E-2</v>
      </c>
      <c r="AG98" s="3">
        <v>-1.444912616200336E-2</v>
      </c>
      <c r="AH98" s="3">
        <v>2.3652319674487828E-2</v>
      </c>
      <c r="AI98" s="3">
        <v>-6.1561488762249816E-3</v>
      </c>
      <c r="AJ98" s="3">
        <v>0</v>
      </c>
      <c r="AK98" s="3">
        <v>2.1276595744680871E-2</v>
      </c>
      <c r="AL98" s="3">
        <v>-2.1253789754259376E-2</v>
      </c>
      <c r="AM98" s="3">
        <v>-4.6349854100398893E-2</v>
      </c>
      <c r="AN98" s="3">
        <v>-2.9882740793782826E-2</v>
      </c>
    </row>
    <row r="99" spans="1:40" x14ac:dyDescent="0.3">
      <c r="A99" s="101">
        <v>44453</v>
      </c>
      <c r="B99" s="3">
        <v>-1.0776287932048927E-2</v>
      </c>
      <c r="C99" s="3">
        <v>-1.5954924230663529E-2</v>
      </c>
      <c r="D99" s="3">
        <v>3.696084347578478E-2</v>
      </c>
      <c r="E99" s="3">
        <v>2.725497275000744E-2</v>
      </c>
      <c r="F99" s="3">
        <v>-1.1786960967210377E-2</v>
      </c>
      <c r="G99" s="3">
        <v>6.1640414551549037E-3</v>
      </c>
      <c r="H99" s="3">
        <v>2.298731632321326E-3</v>
      </c>
      <c r="I99" s="3">
        <v>-2.1739147726016324E-2</v>
      </c>
      <c r="J99" s="3">
        <v>1.8922008447634243E-2</v>
      </c>
      <c r="K99" s="3">
        <v>-1.2903225806451719E-2</v>
      </c>
      <c r="L99" s="3">
        <v>-2.1228652782906143E-2</v>
      </c>
      <c r="M99" s="3">
        <v>0.35273573923166474</v>
      </c>
      <c r="N99" s="3">
        <v>4.031709986188705E-3</v>
      </c>
      <c r="O99" s="3">
        <v>1.9224735572129843E-2</v>
      </c>
      <c r="P99" s="3">
        <v>-1.5394483643361143E-2</v>
      </c>
      <c r="Q99" s="3">
        <v>2.3929549349649172E-2</v>
      </c>
      <c r="R99" s="3">
        <v>-1.5306159738095095E-2</v>
      </c>
      <c r="S99" s="3">
        <v>0</v>
      </c>
      <c r="T99" s="3">
        <v>-1.5836397974587173E-2</v>
      </c>
      <c r="U99" s="3">
        <v>-1.457321056648616E-2</v>
      </c>
      <c r="V99" s="3">
        <v>-1.9002327687992402E-2</v>
      </c>
      <c r="W99" s="3">
        <v>-3.0783430002476221E-2</v>
      </c>
      <c r="X99" s="3">
        <v>-3.2403218550927516E-2</v>
      </c>
      <c r="Y99" s="3">
        <v>-5.4413817143961363E-3</v>
      </c>
      <c r="Z99" s="3">
        <v>-1.3320647002854479E-2</v>
      </c>
      <c r="AA99" s="3">
        <v>2.5512533389718244E-2</v>
      </c>
      <c r="AB99" s="3">
        <v>3.0791061438442267E-2</v>
      </c>
      <c r="AC99" s="3">
        <v>1.8119535137958487E-2</v>
      </c>
      <c r="AD99" s="3">
        <v>1.2437798241780077E-2</v>
      </c>
      <c r="AE99" s="3">
        <v>2.0800019999999933E-2</v>
      </c>
      <c r="AF99" s="3">
        <v>1.5016165798288046E-2</v>
      </c>
      <c r="AG99" s="3">
        <v>1.22174091498224E-2</v>
      </c>
      <c r="AH99" s="3">
        <v>-5.372381277234271E-4</v>
      </c>
      <c r="AI99" s="3">
        <v>-4.4772214446886912E-3</v>
      </c>
      <c r="AJ99" s="3">
        <v>1.0028373131956699E-2</v>
      </c>
      <c r="AK99" s="3">
        <v>2.0833333333333353E-2</v>
      </c>
      <c r="AL99" s="3">
        <v>1.8924658710787214E-2</v>
      </c>
      <c r="AM99" s="3">
        <v>3.4966059853560494E-2</v>
      </c>
      <c r="AN99" s="3">
        <v>2.3744044799999937E-2</v>
      </c>
    </row>
    <row r="100" spans="1:40" x14ac:dyDescent="0.3">
      <c r="A100" s="101">
        <v>44454</v>
      </c>
      <c r="B100" s="3">
        <v>5.5859611563256729E-4</v>
      </c>
      <c r="C100" s="3">
        <v>-2.2651323983399779E-2</v>
      </c>
      <c r="D100" s="3">
        <v>-3.9603925475915451E-2</v>
      </c>
      <c r="E100" s="3">
        <v>2.2274737264312602E-2</v>
      </c>
      <c r="F100" s="3">
        <v>-1.7175560190722642E-2</v>
      </c>
      <c r="G100" s="3">
        <v>-1.6362207748654788E-2</v>
      </c>
      <c r="H100" s="3">
        <v>-5.6045957685308876E-4</v>
      </c>
      <c r="I100" s="3">
        <v>1.3227547213072965E-2</v>
      </c>
      <c r="J100" s="3">
        <v>-2.1376700883967512E-3</v>
      </c>
      <c r="K100" s="3">
        <v>0</v>
      </c>
      <c r="L100" s="3">
        <v>2.725497275000744E-2</v>
      </c>
      <c r="M100" s="3">
        <v>0.64888123924268504</v>
      </c>
      <c r="N100" s="3">
        <v>-1.0310390969659574E-2</v>
      </c>
      <c r="O100" s="3">
        <v>-7.5802466698115622E-5</v>
      </c>
      <c r="P100" s="3">
        <v>7.1661237785017075E-3</v>
      </c>
      <c r="Q100" s="3">
        <v>5.1660351950476746E-2</v>
      </c>
      <c r="R100" s="3">
        <v>-8.2902112951716185E-3</v>
      </c>
      <c r="S100" s="3">
        <v>1.7793348787704607E-2</v>
      </c>
      <c r="T100" s="3">
        <v>1.8773078671842369E-2</v>
      </c>
      <c r="U100" s="3">
        <v>8.9202515439037941E-3</v>
      </c>
      <c r="V100" s="3">
        <v>-6.0533375820174444E-3</v>
      </c>
      <c r="W100" s="3">
        <v>-4.1352153707051836E-2</v>
      </c>
      <c r="X100" s="3">
        <v>-4.1860441860465107E-2</v>
      </c>
      <c r="Y100" s="3">
        <v>-2.3431832386269707E-2</v>
      </c>
      <c r="Z100" s="3">
        <v>-2.9893924783027843E-2</v>
      </c>
      <c r="AA100" s="3">
        <v>-2.7485394203811901E-2</v>
      </c>
      <c r="AB100" s="3">
        <v>-2.8669620206060495E-2</v>
      </c>
      <c r="AC100" s="3">
        <v>-2.2633629834882891E-2</v>
      </c>
      <c r="AD100" s="3">
        <v>2.4568956183318551E-3</v>
      </c>
      <c r="AE100" s="3">
        <v>3.2817299513768672E-3</v>
      </c>
      <c r="AF100" s="3">
        <v>2.1133927202263356E-3</v>
      </c>
      <c r="AG100" s="3">
        <v>9.6560048280024229E-3</v>
      </c>
      <c r="AH100" s="3">
        <v>-1.6129185161293479E-2</v>
      </c>
      <c r="AI100" s="3">
        <v>-7.392881732331086E-3</v>
      </c>
      <c r="AJ100" s="3">
        <v>-2.0327569157967585E-3</v>
      </c>
      <c r="AK100" s="3">
        <v>-2.0408163265306142E-2</v>
      </c>
      <c r="AL100" s="3">
        <v>-2.1924414667726488E-2</v>
      </c>
      <c r="AM100" s="3">
        <v>-2.8387646823579159E-2</v>
      </c>
      <c r="AN100" s="3">
        <v>-3.1020291215666192E-2</v>
      </c>
    </row>
    <row r="101" spans="1:40" x14ac:dyDescent="0.3">
      <c r="A101" s="101">
        <v>44456</v>
      </c>
      <c r="B101" s="3">
        <v>1.5075411794343322E-2</v>
      </c>
      <c r="C101" s="3">
        <v>-5.6112153145875887E-3</v>
      </c>
      <c r="D101" s="3">
        <v>-3.8659856688269892E-2</v>
      </c>
      <c r="E101" s="3">
        <v>-2.3766378055227622E-2</v>
      </c>
      <c r="F101" s="3">
        <v>-1.4562618264101108E-3</v>
      </c>
      <c r="G101" s="3">
        <v>3.9381017408123886E-2</v>
      </c>
      <c r="H101" s="3">
        <v>-4.9547322673710974E-3</v>
      </c>
      <c r="I101" s="3">
        <v>9.3995080613296002E-3</v>
      </c>
      <c r="J101" s="3">
        <v>3.882799051372439E-3</v>
      </c>
      <c r="K101" s="3">
        <v>5.4466230936819175E-2</v>
      </c>
      <c r="L101" s="3">
        <v>2.2274737264312602E-2</v>
      </c>
      <c r="M101" s="3">
        <v>-0.34609864300626303</v>
      </c>
      <c r="N101" s="3">
        <v>3.2898129851090664E-3</v>
      </c>
      <c r="O101" s="3">
        <v>1.5151204186271514E-3</v>
      </c>
      <c r="P101" s="3">
        <v>-8.4087968952135037E-3</v>
      </c>
      <c r="Q101" s="3">
        <v>1.1696647547906774E-3</v>
      </c>
      <c r="R101" s="3">
        <v>3.1348712569124488E-3</v>
      </c>
      <c r="S101" s="3">
        <v>-3.496498839777399E-2</v>
      </c>
      <c r="T101" s="3">
        <v>-2.8627799578215381E-2</v>
      </c>
      <c r="U101" s="3">
        <v>-1.0004693088557552E-2</v>
      </c>
      <c r="V101" s="3">
        <v>-2.4360501477624155E-2</v>
      </c>
      <c r="W101" s="3">
        <v>1.1973060371185324E-2</v>
      </c>
      <c r="X101" s="3">
        <v>2.6213543053069253E-2</v>
      </c>
      <c r="Y101" s="3">
        <v>2.9370079760112296E-2</v>
      </c>
      <c r="Z101" s="3">
        <v>1.491053677932409E-2</v>
      </c>
      <c r="AA101" s="3">
        <v>2.7344299505718032E-2</v>
      </c>
      <c r="AB101" s="3">
        <v>1.6967197822445289E-2</v>
      </c>
      <c r="AC101" s="3">
        <v>-2.0877174346598934E-3</v>
      </c>
      <c r="AD101" s="3">
        <v>1.3480458072537624E-2</v>
      </c>
      <c r="AE101" s="3">
        <v>3.7689796048530018E-2</v>
      </c>
      <c r="AF101" s="3">
        <v>1.4059749265556164E-2</v>
      </c>
      <c r="AG101" s="3">
        <v>-7.7704722056185895E-3</v>
      </c>
      <c r="AH101" s="3">
        <v>9.8360938971960282E-3</v>
      </c>
      <c r="AI101" s="3">
        <v>1.8557675324389636E-2</v>
      </c>
      <c r="AJ101" s="3">
        <v>1.8879914599558421E-2</v>
      </c>
      <c r="AK101" s="3">
        <v>2.0833333333333353E-2</v>
      </c>
      <c r="AL101" s="3">
        <v>4.7130396045123157E-3</v>
      </c>
      <c r="AM101" s="3">
        <v>5.6911811897442183E-2</v>
      </c>
      <c r="AN101" s="3">
        <v>3.088103697543829E-2</v>
      </c>
    </row>
    <row r="102" spans="1:40" x14ac:dyDescent="0.3">
      <c r="A102" s="101">
        <v>44459</v>
      </c>
      <c r="B102" s="3">
        <v>-3.850406496275203E-3</v>
      </c>
      <c r="C102" s="3">
        <v>2.3255832368224247E-2</v>
      </c>
      <c r="D102" s="3">
        <v>3.485255130607709E-2</v>
      </c>
      <c r="E102" s="3">
        <v>2.7705880150323072E-2</v>
      </c>
      <c r="F102" s="3">
        <v>-1.4584813363378156E-3</v>
      </c>
      <c r="G102" s="3">
        <v>-2.0284286668118358E-2</v>
      </c>
      <c r="H102" s="3">
        <v>2.5953706003834171E-3</v>
      </c>
      <c r="I102" s="3">
        <v>-1.707198988778787E-2</v>
      </c>
      <c r="J102" s="3">
        <v>8.8540964193056845E-3</v>
      </c>
      <c r="K102" s="3">
        <v>-8.2644628099173625E-3</v>
      </c>
      <c r="L102" s="3">
        <v>-2.3766378055227622E-2</v>
      </c>
      <c r="M102" s="3">
        <v>-0.14795969270677442</v>
      </c>
      <c r="N102" s="3">
        <v>1.0492923944300648E-2</v>
      </c>
      <c r="O102" s="3">
        <v>-3.479324068625278E-3</v>
      </c>
      <c r="P102" s="3">
        <v>3.4572733202870146E-2</v>
      </c>
      <c r="Q102" s="3">
        <v>1.168149826267518E-3</v>
      </c>
      <c r="R102" s="3">
        <v>2.3750023210913618E-2</v>
      </c>
      <c r="S102" s="3">
        <v>3.0434958618864769E-3</v>
      </c>
      <c r="T102" s="3">
        <v>3.3875467444954297E-3</v>
      </c>
      <c r="U102" s="3">
        <v>-9.1657123212501388E-3</v>
      </c>
      <c r="V102" s="3">
        <v>1.6229705373761231E-2</v>
      </c>
      <c r="W102" s="3">
        <v>1.0696947292042418E-2</v>
      </c>
      <c r="X102" s="3">
        <v>1.5610217966183107E-2</v>
      </c>
      <c r="Y102" s="3">
        <v>-1.7042221562688941E-3</v>
      </c>
      <c r="Z102" s="3">
        <v>-1.3712047012732669E-2</v>
      </c>
      <c r="AA102" s="3">
        <v>1.4577827792985098E-3</v>
      </c>
      <c r="AB102" s="3">
        <v>-9.5578686429111776E-4</v>
      </c>
      <c r="AC102" s="3">
        <v>2.1850360720795787E-2</v>
      </c>
      <c r="AD102" s="3">
        <v>-5.2397234242309377E-3</v>
      </c>
      <c r="AE102" s="3">
        <v>5.3116879984236039E-2</v>
      </c>
      <c r="AF102" s="3">
        <v>2.6343175650323871E-2</v>
      </c>
      <c r="AG102" s="3">
        <v>-9.0360843373494641E-3</v>
      </c>
      <c r="AH102" s="3">
        <v>-2.478359851923749E-2</v>
      </c>
      <c r="AI102" s="3">
        <v>-2.5592006948439729E-3</v>
      </c>
      <c r="AJ102" s="3">
        <v>-2.6910275715827494E-3</v>
      </c>
      <c r="AK102" s="3">
        <v>2.0408163265306142E-2</v>
      </c>
      <c r="AL102" s="3">
        <v>1.755812814339093E-2</v>
      </c>
      <c r="AM102" s="3">
        <v>-5.3678882746661435E-3</v>
      </c>
      <c r="AN102" s="3">
        <v>-1.6084413694694723E-3</v>
      </c>
    </row>
    <row r="103" spans="1:40" x14ac:dyDescent="0.3">
      <c r="A103" s="101">
        <v>44460</v>
      </c>
      <c r="B103" s="3">
        <v>1.5184998148296673E-2</v>
      </c>
      <c r="C103" s="3">
        <v>-2.4050141181797937E-3</v>
      </c>
      <c r="D103" s="3">
        <v>6.4766948672123972E-2</v>
      </c>
      <c r="E103" s="3">
        <v>-4.1854362362388443E-5</v>
      </c>
      <c r="F103" s="3">
        <v>-2.2882276086428833E-2</v>
      </c>
      <c r="G103" s="3">
        <v>0.10621885739312606</v>
      </c>
      <c r="H103" s="3">
        <v>3.0952882833907521E-3</v>
      </c>
      <c r="I103" s="3">
        <v>1.9473792844188237E-2</v>
      </c>
      <c r="J103" s="3">
        <v>-1.3297788289136333E-2</v>
      </c>
      <c r="K103" s="3">
        <v>-4.3749999999999997E-2</v>
      </c>
      <c r="L103" s="3">
        <v>2.7705880150323072E-2</v>
      </c>
      <c r="M103" s="3">
        <v>1.7915690866510538E-2</v>
      </c>
      <c r="N103" s="3">
        <v>-7.1390024588591471E-3</v>
      </c>
      <c r="O103" s="3">
        <v>-2.0496812834976874E-3</v>
      </c>
      <c r="P103" s="3">
        <v>-2.2068095838587619E-2</v>
      </c>
      <c r="Q103" s="3">
        <v>2.1003575106551133E-2</v>
      </c>
      <c r="R103" s="3">
        <v>-3.3374100689978314E-2</v>
      </c>
      <c r="S103" s="3">
        <v>0</v>
      </c>
      <c r="T103" s="3">
        <v>-1.6542945990303499E-2</v>
      </c>
      <c r="U103" s="3">
        <v>2.1346682804093773E-3</v>
      </c>
      <c r="V103" s="3">
        <v>-2.4570094329036869E-3</v>
      </c>
      <c r="W103" s="3">
        <v>1.6035936080990833E-2</v>
      </c>
      <c r="X103" s="3">
        <v>-3.2603633735529564E-3</v>
      </c>
      <c r="Y103" s="3">
        <v>6.608277033058562E-3</v>
      </c>
      <c r="Z103" s="3">
        <v>9.9304865938430621E-3</v>
      </c>
      <c r="AA103" s="3">
        <v>1.8970774566896085E-2</v>
      </c>
      <c r="AB103" s="3">
        <v>1.7395744632382852E-2</v>
      </c>
      <c r="AC103" s="3">
        <v>2.6160220421586754E-3</v>
      </c>
      <c r="AD103" s="3">
        <v>-1.2155750702774403E-2</v>
      </c>
      <c r="AE103" s="3">
        <v>4.9142692086173321E-4</v>
      </c>
      <c r="AF103" s="3">
        <v>-2.3302854976643101E-2</v>
      </c>
      <c r="AG103" s="3">
        <v>-2.2492460638756314E-2</v>
      </c>
      <c r="AH103" s="3">
        <v>2.4303676922331159E-2</v>
      </c>
      <c r="AI103" s="3">
        <v>2.0343355619269997E-2</v>
      </c>
      <c r="AJ103" s="3">
        <v>9.7909007479109311E-3</v>
      </c>
      <c r="AK103" s="3">
        <v>8.66666666666666E-2</v>
      </c>
      <c r="AL103" s="3">
        <v>1.9711574304151932E-2</v>
      </c>
      <c r="AM103" s="3">
        <v>1.43854234123984E-2</v>
      </c>
      <c r="AN103" s="3">
        <v>3.0120249615150897E-2</v>
      </c>
    </row>
    <row r="104" spans="1:40" x14ac:dyDescent="0.3">
      <c r="A104" s="101">
        <v>44461</v>
      </c>
      <c r="B104" s="3">
        <v>1.6317612359013512E-2</v>
      </c>
      <c r="C104" s="3">
        <v>-5.3037721975591548E-3</v>
      </c>
      <c r="D104" s="3">
        <v>-2.4332424602543576E-3</v>
      </c>
      <c r="E104" s="3">
        <v>3.8238942565594937E-2</v>
      </c>
      <c r="F104" s="3">
        <v>1.4949145162304338E-3</v>
      </c>
      <c r="G104" s="3">
        <v>-5.0860252406605674E-2</v>
      </c>
      <c r="H104" s="3">
        <v>1.1428655695158397E-3</v>
      </c>
      <c r="I104" s="3">
        <v>-5.6789645491798994E-3</v>
      </c>
      <c r="J104" s="3">
        <v>-2.1563367788113041E-3</v>
      </c>
      <c r="K104" s="3">
        <v>-8.9324618736383476E-2</v>
      </c>
      <c r="L104" s="3">
        <v>-4.1854362362388443E-5</v>
      </c>
      <c r="M104" s="3">
        <v>-5.2340963994018178E-2</v>
      </c>
      <c r="N104" s="3">
        <v>1.5688193575416055E-2</v>
      </c>
      <c r="O104" s="3">
        <v>6.5413913631373498E-3</v>
      </c>
      <c r="P104" s="3">
        <v>7.0921985815602471E-3</v>
      </c>
      <c r="Q104" s="3">
        <v>-4.9142925707241908E-2</v>
      </c>
      <c r="R104" s="3">
        <v>5.2638996702630305E-4</v>
      </c>
      <c r="S104" s="3">
        <v>0</v>
      </c>
      <c r="T104" s="3">
        <v>-7.8955791907234854E-3</v>
      </c>
      <c r="U104" s="3">
        <v>-6.3904862391361023E-3</v>
      </c>
      <c r="V104" s="3">
        <v>-3.5714229187588049E-2</v>
      </c>
      <c r="W104" s="3">
        <v>-9.2171088501024744E-3</v>
      </c>
      <c r="X104" s="3">
        <v>-9.579439476155048E-3</v>
      </c>
      <c r="Y104" s="3">
        <v>-1.2034903901987993E-3</v>
      </c>
      <c r="Z104" s="3">
        <v>-9.8328416912487355E-3</v>
      </c>
      <c r="AA104" s="3">
        <v>1.9124391000022428E-2</v>
      </c>
      <c r="AB104" s="3">
        <v>6.3520539427885478E-2</v>
      </c>
      <c r="AC104" s="3">
        <v>4.2730147427635527E-2</v>
      </c>
      <c r="AD104" s="3">
        <v>-6.9728003598662309E-3</v>
      </c>
      <c r="AE104" s="3">
        <v>-1.0136209111000792E-2</v>
      </c>
      <c r="AF104" s="3">
        <v>-2.0401077006375796E-2</v>
      </c>
      <c r="AG104" s="3">
        <v>-9.9502487562188047E-3</v>
      </c>
      <c r="AH104" s="3">
        <v>-9.7506208184379537E-4</v>
      </c>
      <c r="AI104" s="3">
        <v>1.1495606168615904E-2</v>
      </c>
      <c r="AJ104" s="3">
        <v>-1.1604727167651157E-2</v>
      </c>
      <c r="AK104" s="3">
        <v>-1.2269938650306624E-2</v>
      </c>
      <c r="AL104" s="3">
        <v>3.5592124296349704E-2</v>
      </c>
      <c r="AM104" s="3">
        <v>6.8588906760366818E-4</v>
      </c>
      <c r="AN104" s="3">
        <v>4.7549911367504041E-2</v>
      </c>
    </row>
    <row r="105" spans="1:40" x14ac:dyDescent="0.3">
      <c r="A105" s="101">
        <v>44462</v>
      </c>
      <c r="B105" s="3">
        <v>1.0971363605641628E-2</v>
      </c>
      <c r="C105" s="3">
        <v>1.2360693020564591E-2</v>
      </c>
      <c r="D105" s="3">
        <v>-1.7073001809399951E-2</v>
      </c>
      <c r="E105" s="3">
        <v>5.1086357714640054E-2</v>
      </c>
      <c r="F105" s="3">
        <v>1.0447704053324123E-2</v>
      </c>
      <c r="G105" s="3">
        <v>4.7905021204410335E-2</v>
      </c>
      <c r="H105" s="3">
        <v>2.2610271102305262E-3</v>
      </c>
      <c r="I105" s="3">
        <v>4.1536821435552039E-3</v>
      </c>
      <c r="J105" s="3">
        <v>1.3507341901654256E-3</v>
      </c>
      <c r="K105" s="3">
        <v>0</v>
      </c>
      <c r="L105" s="3">
        <v>3.8238942565594937E-2</v>
      </c>
      <c r="M105" s="3">
        <v>-0.26438455935906774</v>
      </c>
      <c r="N105" s="3">
        <v>-3.1106016357393993E-2</v>
      </c>
      <c r="O105" s="3">
        <v>2.493890145293986E-3</v>
      </c>
      <c r="P105" s="3">
        <v>8.9628681177977322E-3</v>
      </c>
      <c r="Q105" s="3">
        <v>-1.2019231407053582E-2</v>
      </c>
      <c r="R105" s="3">
        <v>-1.5255166981361699E-2</v>
      </c>
      <c r="S105" s="3">
        <v>1.1414533183300324E-2</v>
      </c>
      <c r="T105" s="3">
        <v>-1.5570993353142598E-2</v>
      </c>
      <c r="U105" s="3">
        <v>-3.573134192109928E-2</v>
      </c>
      <c r="V105" s="3">
        <v>-6.385768570939589E-3</v>
      </c>
      <c r="W105" s="3">
        <v>2.3320931441774512E-2</v>
      </c>
      <c r="X105" s="3">
        <v>-1.2031092522554743E-2</v>
      </c>
      <c r="Y105" s="3">
        <v>2.1635519792689694E-2</v>
      </c>
      <c r="Z105" s="3">
        <v>1.9860973187686124E-2</v>
      </c>
      <c r="AA105" s="3">
        <v>9.8349332587160804E-3</v>
      </c>
      <c r="AB105" s="3">
        <v>-2.6527402183128275E-2</v>
      </c>
      <c r="AC105" s="3">
        <v>1.4143789664551418E-3</v>
      </c>
      <c r="AD105" s="3">
        <v>-5.369711479819109E-3</v>
      </c>
      <c r="AE105" s="3">
        <v>7.6213481295084665E-2</v>
      </c>
      <c r="AF105" s="3">
        <v>-3.1062517077500754E-2</v>
      </c>
      <c r="AG105" s="3">
        <v>2.1356783919598093E-2</v>
      </c>
      <c r="AH105" s="3">
        <v>1.507430771545408E-2</v>
      </c>
      <c r="AI105" s="3">
        <v>-5.0905043658847566E-3</v>
      </c>
      <c r="AJ105" s="3">
        <v>-2.0086087046893293E-3</v>
      </c>
      <c r="AK105" s="3">
        <v>-2.4844720496894429E-2</v>
      </c>
      <c r="AL105" s="3">
        <v>1.6123761888554714E-3</v>
      </c>
      <c r="AM105" s="3">
        <v>2.645380606677836E-2</v>
      </c>
      <c r="AN105" s="3">
        <v>2.0333262657090917E-4</v>
      </c>
    </row>
    <row r="106" spans="1:40" x14ac:dyDescent="0.3">
      <c r="A106" s="101">
        <v>44463</v>
      </c>
      <c r="B106" s="3">
        <v>3.0704123274266373E-2</v>
      </c>
      <c r="C106" s="3">
        <v>1.0294497885081504E-2</v>
      </c>
      <c r="D106" s="3">
        <v>-2.4815449928403243E-3</v>
      </c>
      <c r="E106" s="3">
        <v>6.4317694460959626E-2</v>
      </c>
      <c r="F106" s="3">
        <v>3.0526876479230622E-2</v>
      </c>
      <c r="G106" s="3">
        <v>-7.6237781856187167E-2</v>
      </c>
      <c r="H106" s="3">
        <v>-2.7188689505164488E-4</v>
      </c>
      <c r="I106" s="3">
        <v>-1.4994886914872186E-2</v>
      </c>
      <c r="J106" s="3">
        <v>1.2139729606105054E-3</v>
      </c>
      <c r="K106" s="3">
        <v>0</v>
      </c>
      <c r="L106" s="3">
        <v>5.1086357714640054E-2</v>
      </c>
      <c r="M106" s="3">
        <v>-0.41105610561056105</v>
      </c>
      <c r="N106" s="3">
        <v>3.4318058125033762E-3</v>
      </c>
      <c r="O106" s="3">
        <v>-7.688812682974425E-3</v>
      </c>
      <c r="P106" s="3">
        <v>1.1421319796954297E-2</v>
      </c>
      <c r="Q106" s="3">
        <v>3.2846715319220489E-2</v>
      </c>
      <c r="R106" s="3">
        <v>2.5641037457666219E-2</v>
      </c>
      <c r="S106" s="3">
        <v>1.0714296745849082E-2</v>
      </c>
      <c r="T106" s="3">
        <v>-1.7926176134509083E-2</v>
      </c>
      <c r="U106" s="3">
        <v>-8.6461017403778109E-3</v>
      </c>
      <c r="V106" s="3">
        <v>-3.984570726132583E-2</v>
      </c>
      <c r="W106" s="3">
        <v>-1.2453273846918122E-2</v>
      </c>
      <c r="X106" s="3">
        <v>-1.7430730242819225E-2</v>
      </c>
      <c r="Y106" s="3">
        <v>-8.9534525208352055E-3</v>
      </c>
      <c r="Z106" s="3">
        <v>-6.8159688412853248E-3</v>
      </c>
      <c r="AA106" s="3">
        <v>3.279972289174532E-2</v>
      </c>
      <c r="AB106" s="3">
        <v>7.4326749393738203E-4</v>
      </c>
      <c r="AC106" s="3">
        <v>-1.5644266550793189E-2</v>
      </c>
      <c r="AD106" s="3">
        <v>-3.3222910737967818E-3</v>
      </c>
      <c r="AE106" s="3">
        <v>-2.3158311094938388E-2</v>
      </c>
      <c r="AF106" s="3">
        <v>-4.0073257491931588E-3</v>
      </c>
      <c r="AG106" s="3">
        <v>-2.8905289052890675E-2</v>
      </c>
      <c r="AH106" s="3">
        <v>2.4572718743253678E-2</v>
      </c>
      <c r="AI106" s="3">
        <v>-7.9724242784553097E-3</v>
      </c>
      <c r="AJ106" s="3">
        <v>-1.1919181094781192E-2</v>
      </c>
      <c r="AK106" s="3">
        <v>-3.8216560509554173E-2</v>
      </c>
      <c r="AL106" s="3">
        <v>-2.2905553293291799E-3</v>
      </c>
      <c r="AM106" s="3">
        <v>-2.2812204486762851E-2</v>
      </c>
      <c r="AN106" s="3">
        <v>-2.3208079441611126E-2</v>
      </c>
    </row>
    <row r="107" spans="1:40" x14ac:dyDescent="0.3">
      <c r="A107" s="101">
        <v>44466</v>
      </c>
      <c r="B107" s="3">
        <v>6.9337200976781546E-3</v>
      </c>
      <c r="C107" s="3">
        <v>4.0284268155868677E-2</v>
      </c>
      <c r="D107" s="3">
        <v>-1.2437579181144123E-2</v>
      </c>
      <c r="E107" s="3">
        <v>-5.2019657334609282E-2</v>
      </c>
      <c r="F107" s="3">
        <v>1.6244643760468021E-2</v>
      </c>
      <c r="G107" s="3">
        <v>4.4852394394588654E-3</v>
      </c>
      <c r="H107" s="3">
        <v>-1.6023638541996419E-3</v>
      </c>
      <c r="I107" s="3">
        <v>-6.8241068104418212E-3</v>
      </c>
      <c r="J107" s="3">
        <v>1.212402332102755E-3</v>
      </c>
      <c r="K107" s="3">
        <v>1.4354066985646053E-2</v>
      </c>
      <c r="L107" s="3">
        <v>6.4317694460959626E-2</v>
      </c>
      <c r="M107" s="3">
        <v>0.11599887923788176</v>
      </c>
      <c r="N107" s="3">
        <v>-1.8976096437387582E-2</v>
      </c>
      <c r="O107" s="3">
        <v>-3.0387633806080445E-3</v>
      </c>
      <c r="P107" s="3">
        <v>1.3174404015056405E-2</v>
      </c>
      <c r="Q107" s="3">
        <v>1.1779309369603411E-3</v>
      </c>
      <c r="R107" s="3">
        <v>-3.6354189271292393E-2</v>
      </c>
      <c r="S107" s="3">
        <v>-1.4487595500361756E-2</v>
      </c>
      <c r="T107" s="3">
        <v>-1.4316153802014094E-3</v>
      </c>
      <c r="U107" s="3">
        <v>-4.0119638053574061E-2</v>
      </c>
      <c r="V107" s="3">
        <v>6.8272997479178393E-2</v>
      </c>
      <c r="W107" s="3">
        <v>2.8373370862475877E-3</v>
      </c>
      <c r="X107" s="3">
        <v>-2.1871444866515652E-3</v>
      </c>
      <c r="Y107" s="3">
        <v>3.2458262403301658E-3</v>
      </c>
      <c r="Z107" s="3">
        <v>9.8039215686289839E-4</v>
      </c>
      <c r="AA107" s="3">
        <v>-2.6923911329206556E-2</v>
      </c>
      <c r="AB107" s="3">
        <v>-3.9607184555391396E-3</v>
      </c>
      <c r="AC107" s="3">
        <v>-1.876243789516182E-2</v>
      </c>
      <c r="AD107" s="3">
        <v>2.4999356245449717E-3</v>
      </c>
      <c r="AE107" s="3">
        <v>-2.8234292706702978E-2</v>
      </c>
      <c r="AF107" s="3">
        <v>1.7922369738815301E-2</v>
      </c>
      <c r="AG107" s="3">
        <v>6.3331222292600147E-4</v>
      </c>
      <c r="AH107" s="3">
        <v>-3.6496450636167695E-2</v>
      </c>
      <c r="AI107" s="3">
        <v>-2.3929630993251717E-2</v>
      </c>
      <c r="AJ107" s="3">
        <v>1.0496577856338351E-2</v>
      </c>
      <c r="AK107" s="3">
        <v>-6.6225165562913968E-3</v>
      </c>
      <c r="AL107" s="3">
        <v>-5.7076425400189095E-3</v>
      </c>
      <c r="AM107" s="3">
        <v>9.0495888658329981E-4</v>
      </c>
      <c r="AN107" s="3">
        <v>-7.4501428039269527E-3</v>
      </c>
    </row>
    <row r="108" spans="1:40" x14ac:dyDescent="0.3">
      <c r="A108" s="101">
        <v>44467</v>
      </c>
      <c r="B108" s="3">
        <v>0.14078043796462766</v>
      </c>
      <c r="C108" s="3">
        <v>-7.7448851918268382E-3</v>
      </c>
      <c r="D108" s="3">
        <v>3.2745332990828657E-2</v>
      </c>
      <c r="E108" s="3">
        <v>-1.8126402566306963E-2</v>
      </c>
      <c r="F108" s="3">
        <v>9.5439619218999086E-2</v>
      </c>
      <c r="G108" s="3">
        <v>1.3991256009200651E-2</v>
      </c>
      <c r="H108" s="3">
        <v>8.8345075866340524E-4</v>
      </c>
      <c r="I108" s="3">
        <v>0</v>
      </c>
      <c r="J108" s="3">
        <v>4.4403079452725132E-3</v>
      </c>
      <c r="K108" s="3">
        <v>4.0094339622641494E-2</v>
      </c>
      <c r="L108" s="3">
        <v>-5.2019657334609282E-2</v>
      </c>
      <c r="M108" s="3">
        <v>0.8305297514436355</v>
      </c>
      <c r="N108" s="3">
        <v>1.979319803087189E-2</v>
      </c>
      <c r="O108" s="3">
        <v>-2.2855218909865926E-4</v>
      </c>
      <c r="P108" s="3">
        <v>-4.9535603715169223E-3</v>
      </c>
      <c r="Q108" s="3">
        <v>2.8235217820123927E-2</v>
      </c>
      <c r="R108" s="3">
        <v>4.3130477591636657E-2</v>
      </c>
      <c r="S108" s="3">
        <v>7.3502420628841084E-3</v>
      </c>
      <c r="T108" s="3">
        <v>2.2580599174689416E-2</v>
      </c>
      <c r="U108" s="3">
        <v>3.9979264061527936E-2</v>
      </c>
      <c r="V108" s="3">
        <v>2.6315812084180244E-2</v>
      </c>
      <c r="W108" s="3">
        <v>-2.1691320180859629E-2</v>
      </c>
      <c r="X108" s="3">
        <v>-1.0472479043534356E-2</v>
      </c>
      <c r="Y108" s="3">
        <v>-4.1520610000333386E-2</v>
      </c>
      <c r="Z108" s="3">
        <v>-2.0568070519099004E-2</v>
      </c>
      <c r="AA108" s="3">
        <v>-2.0517680060805829E-2</v>
      </c>
      <c r="AB108" s="3">
        <v>-1.4000585056636778E-2</v>
      </c>
      <c r="AC108" s="3">
        <v>-2.9619376013724601E-3</v>
      </c>
      <c r="AD108" s="3">
        <v>7.4814135315184518E-3</v>
      </c>
      <c r="AE108" s="3">
        <v>-1.8324696346868442E-2</v>
      </c>
      <c r="AF108" s="3">
        <v>3.9526868257201281E-3</v>
      </c>
      <c r="AG108" s="3">
        <v>-1.8987341772152618E-3</v>
      </c>
      <c r="AH108" s="3">
        <v>1.6774939608506637E-2</v>
      </c>
      <c r="AI108" s="3">
        <v>2.150547911231452E-2</v>
      </c>
      <c r="AJ108" s="3">
        <v>-7.7520483026725694E-3</v>
      </c>
      <c r="AK108" s="3">
        <v>0.1333333333333333</v>
      </c>
      <c r="AL108" s="3">
        <v>8.9024010404162024E-3</v>
      </c>
      <c r="AM108" s="3">
        <v>-2.057427751937756E-2</v>
      </c>
      <c r="AN108" s="3">
        <v>-1.9750480575995565E-2</v>
      </c>
    </row>
    <row r="109" spans="1:40" x14ac:dyDescent="0.3">
      <c r="A109" s="101">
        <v>44468</v>
      </c>
      <c r="B109" s="3">
        <v>-5.8126486851130102E-2</v>
      </c>
      <c r="C109" s="3">
        <v>2.1808979252202466E-2</v>
      </c>
      <c r="D109" s="3">
        <v>1.2195391379272379E-2</v>
      </c>
      <c r="E109" s="3">
        <v>8.9590003971672348E-3</v>
      </c>
      <c r="F109" s="3">
        <v>6.8669499964257641E-2</v>
      </c>
      <c r="G109" s="3">
        <v>-1.9743137614678836E-2</v>
      </c>
      <c r="H109" s="3">
        <v>-2.7583467572876567E-4</v>
      </c>
      <c r="I109" s="3">
        <v>1.5856559324804798E-3</v>
      </c>
      <c r="J109" s="3">
        <v>1.4199512636794993E-2</v>
      </c>
      <c r="K109" s="3">
        <v>0</v>
      </c>
      <c r="L109" s="3">
        <v>-1.8126402566306963E-2</v>
      </c>
      <c r="M109" s="3">
        <v>-0.30585653545467012</v>
      </c>
      <c r="N109" s="3">
        <v>-4.7419967570661121E-3</v>
      </c>
      <c r="O109" s="3">
        <v>4.1918235441883904E-3</v>
      </c>
      <c r="P109" s="3">
        <v>-3.1113876789048357E-3</v>
      </c>
      <c r="Q109" s="3">
        <v>3.0892448493501149E-2</v>
      </c>
      <c r="R109" s="3">
        <v>-5.1813287833621336E-3</v>
      </c>
      <c r="S109" s="3">
        <v>0</v>
      </c>
      <c r="T109" s="3">
        <v>1.6824402929661125E-2</v>
      </c>
      <c r="U109" s="3">
        <v>2.2465702978709382E-3</v>
      </c>
      <c r="V109" s="3">
        <v>3.6630665014492809E-3</v>
      </c>
      <c r="W109" s="3">
        <v>1.6066853598239326E-3</v>
      </c>
      <c r="X109" s="3">
        <v>5.4146442181972707E-3</v>
      </c>
      <c r="Y109" s="3">
        <v>-7.3139240506335447E-4</v>
      </c>
      <c r="Z109" s="3">
        <v>9.9999999999999638E-3</v>
      </c>
      <c r="AA109" s="3">
        <v>-2.0106010732189622E-2</v>
      </c>
      <c r="AB109" s="3">
        <v>-2.5541666182603909E-2</v>
      </c>
      <c r="AC109" s="3">
        <v>-1.7034554654389931E-2</v>
      </c>
      <c r="AD109" s="3">
        <v>7.4257262011351187E-3</v>
      </c>
      <c r="AE109" s="3">
        <v>-8.096797154203717E-4</v>
      </c>
      <c r="AF109" s="3">
        <v>-2.8990703651292003E-2</v>
      </c>
      <c r="AG109" s="3">
        <v>-1.7121116043119822E-2</v>
      </c>
      <c r="AH109" s="3">
        <v>5.3209160647866129E-4</v>
      </c>
      <c r="AI109" s="3">
        <v>-5.1128431343918472E-3</v>
      </c>
      <c r="AJ109" s="3">
        <v>-4.4531413800877181E-3</v>
      </c>
      <c r="AK109" s="3">
        <v>-9.9999999999999964E-2</v>
      </c>
      <c r="AL109" s="3">
        <v>-2.4411771994269874E-2</v>
      </c>
      <c r="AM109" s="3">
        <v>-1.3189209084884482E-4</v>
      </c>
      <c r="AN109" s="3">
        <v>-2.0013958096060675E-2</v>
      </c>
    </row>
    <row r="110" spans="1:40" x14ac:dyDescent="0.3">
      <c r="A110" s="101">
        <v>44469</v>
      </c>
      <c r="B110" s="3">
        <v>-2.8483296784733835E-2</v>
      </c>
      <c r="C110" s="3">
        <v>-7.8634063754848167E-3</v>
      </c>
      <c r="D110" s="3">
        <v>7.2286320043849278E-3</v>
      </c>
      <c r="E110" s="3">
        <v>3.8438964588108026E-3</v>
      </c>
      <c r="F110" s="3">
        <v>-2.851404684504337E-2</v>
      </c>
      <c r="G110" s="3">
        <v>-1.8381267190425092E-2</v>
      </c>
      <c r="H110" s="3">
        <v>1.8210111578320072E-3</v>
      </c>
      <c r="I110" s="3">
        <v>-2.6385399725614234E-3</v>
      </c>
      <c r="J110" s="3">
        <v>6.4719221094753747E-3</v>
      </c>
      <c r="K110" s="3">
        <v>0</v>
      </c>
      <c r="L110" s="3">
        <v>8.9590003971672348E-3</v>
      </c>
      <c r="M110" s="3">
        <v>-1.1460185734044654E-2</v>
      </c>
      <c r="N110" s="3">
        <v>-1.0748180613619856E-2</v>
      </c>
      <c r="O110" s="3">
        <v>-8.1208200054497959E-3</v>
      </c>
      <c r="P110" s="3">
        <v>-1.0611735330836451E-2</v>
      </c>
      <c r="Q110" s="3">
        <v>-2.2197566388195934E-3</v>
      </c>
      <c r="R110" s="3">
        <v>7.9166597743620226E-2</v>
      </c>
      <c r="S110" s="3">
        <v>1.1567906713044116E-2</v>
      </c>
      <c r="T110" s="3">
        <v>-2.5853112500099761E-2</v>
      </c>
      <c r="U110" s="3">
        <v>-3.9850191459726665E-3</v>
      </c>
      <c r="V110" s="3">
        <v>2.4330864491419954E-2</v>
      </c>
      <c r="W110" s="3">
        <v>-8.6621676969208874E-3</v>
      </c>
      <c r="X110" s="3">
        <v>-2.252137197167059E-2</v>
      </c>
      <c r="Y110" s="3">
        <v>-3.2710264404635196E-2</v>
      </c>
      <c r="Z110" s="3">
        <v>-2.2772277227722817E-2</v>
      </c>
      <c r="AA110" s="3">
        <v>-2.0634593547562214E-2</v>
      </c>
      <c r="AB110" s="3">
        <v>1.3191742827585329E-2</v>
      </c>
      <c r="AC110" s="3">
        <v>2.3565432828586887E-2</v>
      </c>
      <c r="AD110" s="3">
        <v>3.6853434274976282E-3</v>
      </c>
      <c r="AE110" s="3">
        <v>-1.6836251988999049E-2</v>
      </c>
      <c r="AF110" s="3">
        <v>1.2163497660739653E-2</v>
      </c>
      <c r="AG110" s="3">
        <v>7.0967741935483502E-3</v>
      </c>
      <c r="AH110" s="3">
        <v>5.3191644189945729E-3</v>
      </c>
      <c r="AI110" s="3">
        <v>1.0761811932591294E-2</v>
      </c>
      <c r="AJ110" s="3">
        <v>8.3183915991371492E-3</v>
      </c>
      <c r="AK110" s="3">
        <v>-1.9607843137254919E-2</v>
      </c>
      <c r="AL110" s="3">
        <v>1.3892806822486737E-2</v>
      </c>
      <c r="AM110" s="3">
        <v>-9.9864114591609841E-3</v>
      </c>
      <c r="AN110" s="3">
        <v>3.0555528810261531E-3</v>
      </c>
    </row>
    <row r="111" spans="1:40" x14ac:dyDescent="0.3">
      <c r="A111" s="101">
        <v>44470</v>
      </c>
      <c r="B111" s="3">
        <v>-2.0522881850384245E-2</v>
      </c>
      <c r="C111" s="3">
        <v>5.434873192060442E-3</v>
      </c>
      <c r="D111" s="3">
        <v>3.3492979077236244E-2</v>
      </c>
      <c r="E111" s="3">
        <v>2.3511333704809272E-2</v>
      </c>
      <c r="F111" s="3">
        <v>-2.2323337578207054E-2</v>
      </c>
      <c r="G111" s="3">
        <v>-1.6017009817143257E-3</v>
      </c>
      <c r="H111" s="3">
        <v>-1.7919962397455937E-3</v>
      </c>
      <c r="I111" s="3">
        <v>-1.6931199723338487E-2</v>
      </c>
      <c r="J111" s="3">
        <v>8.7928206089823487E-3</v>
      </c>
      <c r="K111" s="3">
        <v>7.709750566893421E-2</v>
      </c>
      <c r="L111" s="3">
        <v>3.8438964588108026E-3</v>
      </c>
      <c r="M111" s="3">
        <v>-0.14371377173695782</v>
      </c>
      <c r="N111" s="3">
        <v>1.1425067682414939E-2</v>
      </c>
      <c r="O111" s="3">
        <v>-4.361511335287358E-3</v>
      </c>
      <c r="P111" s="3">
        <v>8.832807570977954E-3</v>
      </c>
      <c r="Q111" s="3">
        <v>-1.1123399311181609E-2</v>
      </c>
      <c r="R111" s="3">
        <v>8.5906760287711229E-3</v>
      </c>
      <c r="S111" s="3">
        <v>1.7594122656528232E-3</v>
      </c>
      <c r="T111" s="3">
        <v>2.1939096977701359E-2</v>
      </c>
      <c r="U111" s="3">
        <v>-1.1002855838024548E-2</v>
      </c>
      <c r="V111" s="3">
        <v>-1.1876009681043493E-3</v>
      </c>
      <c r="W111" s="3">
        <v>8.0900233539544185E-4</v>
      </c>
      <c r="X111" s="3">
        <v>-1.8281968444778349E-2</v>
      </c>
      <c r="Y111" s="3">
        <v>1.9207322265377218E-3</v>
      </c>
      <c r="Z111" s="3">
        <v>1.8237082066869453E-2</v>
      </c>
      <c r="AA111" s="3">
        <v>1.6590368259491238E-3</v>
      </c>
      <c r="AB111" s="3">
        <v>-5.446275541372704E-3</v>
      </c>
      <c r="AC111" s="3">
        <v>4.1747694287245368E-2</v>
      </c>
      <c r="AD111" s="3">
        <v>1.2240021658372265E-2</v>
      </c>
      <c r="AE111" s="3">
        <v>2.0054968499678673E-2</v>
      </c>
      <c r="AF111" s="3">
        <v>3.6780824086883185E-2</v>
      </c>
      <c r="AG111" s="3">
        <v>3.2030813581037862E-2</v>
      </c>
      <c r="AH111" s="3">
        <v>1.2698449465016031E-2</v>
      </c>
      <c r="AI111" s="3">
        <v>-2.5062683947677893E-2</v>
      </c>
      <c r="AJ111" s="3">
        <v>7.3156219240295669E-3</v>
      </c>
      <c r="AK111" s="3">
        <v>2.0000000000000018E-2</v>
      </c>
      <c r="AL111" s="3">
        <v>2.4024165302755654E-2</v>
      </c>
      <c r="AM111" s="3">
        <v>-6.9220806548577762E-2</v>
      </c>
      <c r="AN111" s="3">
        <v>-9.9688845220456505E-3</v>
      </c>
    </row>
    <row r="112" spans="1:40" x14ac:dyDescent="0.3">
      <c r="A112" s="101">
        <v>44473</v>
      </c>
      <c r="B112" s="3">
        <v>2.993271176941039E-2</v>
      </c>
      <c r="C112" s="3">
        <v>-2.7027067423500761E-2</v>
      </c>
      <c r="D112" s="3">
        <v>2.0833225352132681E-2</v>
      </c>
      <c r="E112" s="3">
        <v>-3.3669546538583504E-3</v>
      </c>
      <c r="F112" s="3">
        <v>1.3953519685236419E-2</v>
      </c>
      <c r="G112" s="3">
        <v>-1.5164833887912134E-2</v>
      </c>
      <c r="H112" s="3">
        <v>-1.5193095786398931E-3</v>
      </c>
      <c r="I112" s="3">
        <v>3.2292892404242163E-3</v>
      </c>
      <c r="J112" s="3">
        <v>4.2929148404125435E-3</v>
      </c>
      <c r="K112" s="3">
        <v>-2.1052631578946921E-3</v>
      </c>
      <c r="L112" s="3">
        <v>2.3511333704809272E-2</v>
      </c>
      <c r="M112" s="3">
        <v>-0.13585434173669467</v>
      </c>
      <c r="N112" s="3">
        <v>-1.0520678611896614E-2</v>
      </c>
      <c r="O112" s="3">
        <v>-5.5334852650573071E-3</v>
      </c>
      <c r="P112" s="3">
        <v>-1.6260162601626004E-2</v>
      </c>
      <c r="Q112" s="3">
        <v>2.2497182765657026E-3</v>
      </c>
      <c r="R112" s="3">
        <v>3.3591821465676484E-2</v>
      </c>
      <c r="S112" s="3">
        <v>-9.4835730525549937E-3</v>
      </c>
      <c r="T112" s="3">
        <v>-4.1550554825560311E-3</v>
      </c>
      <c r="U112" s="3">
        <v>-1.5170006313910416E-3</v>
      </c>
      <c r="V112" s="3">
        <v>-3.5672428524739044E-3</v>
      </c>
      <c r="W112" s="3">
        <v>-3.4438100071126208E-2</v>
      </c>
      <c r="X112" s="3">
        <v>-5.1020661963758701E-3</v>
      </c>
      <c r="Y112" s="3">
        <v>-3.0033682061308672E-2</v>
      </c>
      <c r="Z112" s="3">
        <v>-5.8706467661691526E-2</v>
      </c>
      <c r="AA112" s="3">
        <v>7.4530661750046414E-3</v>
      </c>
      <c r="AB112" s="3">
        <v>-9.5833009497046304E-3</v>
      </c>
      <c r="AC112" s="3">
        <v>-2.1885551462916325E-3</v>
      </c>
      <c r="AD112" s="3">
        <v>-8.0611294218190591E-3</v>
      </c>
      <c r="AE112" s="3">
        <v>-1.8852590083726166E-3</v>
      </c>
      <c r="AF112" s="3">
        <v>2.2128536429110935E-2</v>
      </c>
      <c r="AG112" s="3">
        <v>9.3109243134125875E-3</v>
      </c>
      <c r="AH112" s="3">
        <v>-1.5673920112871779E-2</v>
      </c>
      <c r="AI112" s="3">
        <v>2.4173064899597654E-2</v>
      </c>
      <c r="AJ112" s="3">
        <v>4.5584763496307164E-3</v>
      </c>
      <c r="AK112" s="3">
        <v>1.3071895424836612E-2</v>
      </c>
      <c r="AL112" s="3">
        <v>1.382034935399952E-2</v>
      </c>
      <c r="AM112" s="3">
        <v>-7.8110154252779467E-3</v>
      </c>
      <c r="AN112" s="3">
        <v>-2.6812876606009711E-3</v>
      </c>
    </row>
    <row r="113" spans="1:40" x14ac:dyDescent="0.3">
      <c r="A113" s="101">
        <v>44474</v>
      </c>
      <c r="B113" s="3">
        <v>-3.8750947642426721E-3</v>
      </c>
      <c r="C113" s="3">
        <v>5.5555315041241459E-3</v>
      </c>
      <c r="D113" s="3">
        <v>6.8029173361421631E-3</v>
      </c>
      <c r="E113" s="3">
        <v>-1.4227321076530844E-2</v>
      </c>
      <c r="F113" s="3">
        <v>-1.2093497645621282E-2</v>
      </c>
      <c r="G113" s="3">
        <v>-1.3148762345662257E-2</v>
      </c>
      <c r="H113" s="3">
        <v>6.9007188095247364E-3</v>
      </c>
      <c r="I113" s="3">
        <v>-6.4377340372139416E-3</v>
      </c>
      <c r="J113" s="3">
        <v>-8.1605876797577939E-3</v>
      </c>
      <c r="K113" s="3">
        <v>0</v>
      </c>
      <c r="L113" s="3">
        <v>-3.3669546538583504E-3</v>
      </c>
      <c r="M113" s="3">
        <v>0.63992436520799567</v>
      </c>
      <c r="N113" s="3">
        <v>1.0968129534276245E-2</v>
      </c>
      <c r="O113" s="3">
        <v>-7.7262561753342575E-4</v>
      </c>
      <c r="P113" s="3">
        <v>1.2714558169103353E-3</v>
      </c>
      <c r="Q113" s="3">
        <v>2.4691285839428381E-2</v>
      </c>
      <c r="R113" s="3">
        <v>-2.0462939408194047E-2</v>
      </c>
      <c r="S113" s="3">
        <v>-5.3228838000153791E-3</v>
      </c>
      <c r="T113" s="3">
        <v>-6.9541648873287744E-3</v>
      </c>
      <c r="U113" s="3">
        <v>5.3178446537055415E-3</v>
      </c>
      <c r="V113" s="3">
        <v>4.7732833545463416E-3</v>
      </c>
      <c r="W113" s="3">
        <v>3.8010724196220806E-2</v>
      </c>
      <c r="X113" s="3">
        <v>2.564102564102564E-2</v>
      </c>
      <c r="Y113" s="3">
        <v>1.497274950606247E-2</v>
      </c>
      <c r="Z113" s="3">
        <v>1.7970401691331916E-2</v>
      </c>
      <c r="AA113" s="3">
        <v>-1.2118551996264848E-2</v>
      </c>
      <c r="AB113" s="3">
        <v>-6.1340225278590579E-3</v>
      </c>
      <c r="AC113" s="3">
        <v>2.398250438628111E-2</v>
      </c>
      <c r="AD113" s="3">
        <v>7.3139969555899177E-3</v>
      </c>
      <c r="AE113" s="3">
        <v>7.1955657168753977E-3</v>
      </c>
      <c r="AF113" s="3">
        <v>6.1856733400932028E-3</v>
      </c>
      <c r="AG113" s="3">
        <v>1.168517835178344E-2</v>
      </c>
      <c r="AH113" s="3">
        <v>4.1401174530397634E-2</v>
      </c>
      <c r="AI113" s="3">
        <v>4.4331263317227976E-3</v>
      </c>
      <c r="AJ113" s="3">
        <v>-2.3057759202776293E-4</v>
      </c>
      <c r="AK113" s="3">
        <v>-3.2258064516129059E-2</v>
      </c>
      <c r="AL113" s="3">
        <v>1.5891501652504414E-2</v>
      </c>
      <c r="AM113" s="3">
        <v>6.2856540833373655E-3</v>
      </c>
      <c r="AN113" s="3">
        <v>8.8149725368038313E-3</v>
      </c>
    </row>
    <row r="114" spans="1:40" x14ac:dyDescent="0.3">
      <c r="A114" s="101">
        <v>44475</v>
      </c>
      <c r="B114" s="3">
        <v>1.4587959310676043E-2</v>
      </c>
      <c r="C114" s="3">
        <v>4.3738774146326823E-3</v>
      </c>
      <c r="D114" s="3">
        <v>1.8017770204088474E-2</v>
      </c>
      <c r="E114" s="3">
        <v>-6.7783351148012014E-3</v>
      </c>
      <c r="F114" s="3">
        <v>1.0553037976755837E-2</v>
      </c>
      <c r="G114" s="3">
        <v>-1.7332818933811771E-2</v>
      </c>
      <c r="H114" s="3">
        <v>2.8065014233755827E-3</v>
      </c>
      <c r="I114" s="3">
        <v>-1.0799539297837726E-3</v>
      </c>
      <c r="J114" s="3">
        <v>2.6120021112282813E-3</v>
      </c>
      <c r="K114" s="3">
        <v>2.1097046413501657E-3</v>
      </c>
      <c r="L114" s="3">
        <v>-1.4227321076530844E-2</v>
      </c>
      <c r="M114" s="3">
        <v>0.14462197331576346</v>
      </c>
      <c r="N114" s="3">
        <v>-2.656851464734284E-3</v>
      </c>
      <c r="O114" s="3">
        <v>1.8097516400802927E-2</v>
      </c>
      <c r="P114" s="3">
        <v>7.6190476190475696E-3</v>
      </c>
      <c r="Q114" s="3">
        <v>-8.762322937259006E-3</v>
      </c>
      <c r="R114" s="3">
        <v>1.9850220426146457E-3</v>
      </c>
      <c r="S114" s="3">
        <v>-1.9604357786773927E-2</v>
      </c>
      <c r="T114" s="3">
        <v>2.9061607256432136E-2</v>
      </c>
      <c r="U114" s="3">
        <v>-1.0076517756878172E-3</v>
      </c>
      <c r="V114" s="3">
        <v>1.187702718164717E-3</v>
      </c>
      <c r="W114" s="3">
        <v>6.6139723082577363E-3</v>
      </c>
      <c r="X114" s="3">
        <v>2.5000000000000001E-2</v>
      </c>
      <c r="Y114" s="3">
        <v>1.475187340088586E-2</v>
      </c>
      <c r="Z114" s="3">
        <v>6.2305295950154426E-3</v>
      </c>
      <c r="AA114" s="3">
        <v>-8.3210180568639219E-4</v>
      </c>
      <c r="AB114" s="3">
        <v>8.705250197375097E-5</v>
      </c>
      <c r="AC114" s="3">
        <v>-2.6967322438618286E-2</v>
      </c>
      <c r="AD114" s="3">
        <v>-1.3311840206687638E-2</v>
      </c>
      <c r="AE114" s="3">
        <v>-2.4736599512608509E-2</v>
      </c>
      <c r="AF114" s="3">
        <v>-1.8101128512083509E-2</v>
      </c>
      <c r="AG114" s="3">
        <v>7.1124615737105309E-2</v>
      </c>
      <c r="AH114" s="3">
        <v>-2.4464799266151957E-2</v>
      </c>
      <c r="AI114" s="3">
        <v>-3.4114645938979941E-2</v>
      </c>
      <c r="AJ114" s="3">
        <v>-1.2462595022128721E-2</v>
      </c>
      <c r="AK114" s="3">
        <v>-2.6666666666666689E-2</v>
      </c>
      <c r="AL114" s="3">
        <v>-3.0804435193012819E-2</v>
      </c>
      <c r="AM114" s="3">
        <v>-8.1938641930729059E-5</v>
      </c>
      <c r="AN114" s="3">
        <v>8.2389214315380576E-4</v>
      </c>
    </row>
    <row r="115" spans="1:40" x14ac:dyDescent="0.3">
      <c r="A115" s="101">
        <v>44476</v>
      </c>
      <c r="B115" s="3">
        <v>-2.4442868504166063E-2</v>
      </c>
      <c r="C115" s="3">
        <v>-5.500870546543953E-3</v>
      </c>
      <c r="D115" s="3">
        <v>2.6548764228824764E-2</v>
      </c>
      <c r="E115" s="3">
        <v>2.2619417030153976E-3</v>
      </c>
      <c r="F115" s="3">
        <v>2.2556456496538584E-2</v>
      </c>
      <c r="G115" s="3">
        <v>-3.0797695691581546E-3</v>
      </c>
      <c r="H115" s="3">
        <v>8.7936627247211423E-4</v>
      </c>
      <c r="I115" s="3">
        <v>-8.1081619882490737E-3</v>
      </c>
      <c r="J115" s="3">
        <v>-7.6852619225430911E-3</v>
      </c>
      <c r="K115" s="3">
        <v>1.6842105263157908E-2</v>
      </c>
      <c r="L115" s="3">
        <v>-6.7783351148012014E-3</v>
      </c>
      <c r="M115" s="3">
        <v>-0.28104763275291411</v>
      </c>
      <c r="N115" s="3">
        <v>-1.7760025272042162E-2</v>
      </c>
      <c r="O115" s="3">
        <v>-1.3901560983639386E-2</v>
      </c>
      <c r="P115" s="3">
        <v>9.4517958412098525E-3</v>
      </c>
      <c r="Q115" s="3">
        <v>1.2154766747656193E-2</v>
      </c>
      <c r="R115" s="3">
        <v>-1.6415098787553685E-2</v>
      </c>
      <c r="S115" s="3">
        <v>-1.8181837613424401E-2</v>
      </c>
      <c r="T115" s="3">
        <v>-2.7560354709812097E-2</v>
      </c>
      <c r="U115" s="3">
        <v>-1.1598559692347533E-2</v>
      </c>
      <c r="V115" s="3">
        <v>-5.9312654975243436E-3</v>
      </c>
      <c r="W115" s="3">
        <v>-1.0576869811574604E-2</v>
      </c>
      <c r="X115" s="3">
        <v>1.780487804878041E-2</v>
      </c>
      <c r="Y115" s="3">
        <v>1.8491556559332673E-2</v>
      </c>
      <c r="Z115" s="3">
        <v>3.0959752321981501E-2</v>
      </c>
      <c r="AA115" s="3">
        <v>1.0469163066126806E-2</v>
      </c>
      <c r="AB115" s="3">
        <v>1.347239807211662E-2</v>
      </c>
      <c r="AC115" s="3">
        <v>2.2301700893239206E-2</v>
      </c>
      <c r="AD115" s="3">
        <v>-1.3900205613349105E-2</v>
      </c>
      <c r="AE115" s="3">
        <v>3.0445971343704581E-2</v>
      </c>
      <c r="AF115" s="3">
        <v>-1.8782590828515917E-2</v>
      </c>
      <c r="AG115" s="3">
        <v>3.9727523284476651E-2</v>
      </c>
      <c r="AH115" s="3">
        <v>-2.2466103939271891E-2</v>
      </c>
      <c r="AI115" s="3">
        <v>-9.3856916301008168E-3</v>
      </c>
      <c r="AJ115" s="3">
        <v>-2.9601800323870069E-3</v>
      </c>
      <c r="AK115" s="3">
        <v>4.1095890410958943E-2</v>
      </c>
      <c r="AL115" s="3">
        <v>8.6830520756145408E-3</v>
      </c>
      <c r="AM115" s="3">
        <v>1.4132455639286061E-3</v>
      </c>
      <c r="AN115" s="3">
        <v>2.4723688362986197E-2</v>
      </c>
    </row>
    <row r="116" spans="1:40" x14ac:dyDescent="0.3">
      <c r="A116" s="101">
        <v>44477</v>
      </c>
      <c r="B116" s="3">
        <v>-1.6457860471261992E-2</v>
      </c>
      <c r="C116" s="3">
        <v>3.1804641975889954E-2</v>
      </c>
      <c r="D116" s="3">
        <v>-6.4654841501757274E-3</v>
      </c>
      <c r="E116" s="3">
        <v>1.4115746266024472E-2</v>
      </c>
      <c r="F116" s="3">
        <v>-3.267944425764197E-3</v>
      </c>
      <c r="G116" s="3">
        <v>2.435308726178537E-2</v>
      </c>
      <c r="H116" s="3">
        <v>2.6467178511276053E-3</v>
      </c>
      <c r="I116" s="3">
        <v>5.4500744262889699E-4</v>
      </c>
      <c r="J116" s="3">
        <v>-4.2005819432314358E-3</v>
      </c>
      <c r="K116" s="3">
        <v>-1.6563146997929622E-2</v>
      </c>
      <c r="L116" s="3">
        <v>2.2619417030153976E-3</v>
      </c>
      <c r="M116" s="3">
        <v>-9.4075260208166533E-3</v>
      </c>
      <c r="N116" s="3">
        <v>1.1526642240469055E-2</v>
      </c>
      <c r="O116" s="3">
        <v>-3.5436864100855735E-3</v>
      </c>
      <c r="P116" s="3">
        <v>1.2484332084893995E-2</v>
      </c>
      <c r="Q116" s="3">
        <v>2.401739593560508E-2</v>
      </c>
      <c r="R116" s="3">
        <v>8.6322409940190956E-3</v>
      </c>
      <c r="S116" s="3">
        <v>4.0740241676948561E-3</v>
      </c>
      <c r="T116" s="3">
        <v>1.7494101112060006E-3</v>
      </c>
      <c r="U116" s="3">
        <v>-1.0204780945559974E-3</v>
      </c>
      <c r="V116" s="3">
        <v>-2.3865394349873777E-3</v>
      </c>
      <c r="W116" s="3">
        <v>-9.0703588979854418E-3</v>
      </c>
      <c r="X116" s="3">
        <v>7.1890486460579849E-3</v>
      </c>
      <c r="Y116" s="3">
        <v>1.1304659251087493E-2</v>
      </c>
      <c r="Z116" s="3">
        <v>2.0020020020019947E-2</v>
      </c>
      <c r="AA116" s="3">
        <v>-4.3938980558617932E-2</v>
      </c>
      <c r="AB116" s="3">
        <v>-4.6312232933599561E-2</v>
      </c>
      <c r="AC116" s="3">
        <v>-5.5137828740017492E-2</v>
      </c>
      <c r="AD116" s="3">
        <v>-3.5655004016765746E-2</v>
      </c>
      <c r="AE116" s="3">
        <v>-3.4078343455154425E-2</v>
      </c>
      <c r="AF116" s="3">
        <v>-1.4533945923095567E-2</v>
      </c>
      <c r="AG116" s="3">
        <v>-4.9126637554585073E-2</v>
      </c>
      <c r="AH116" s="3">
        <v>-5.0774918493629327E-2</v>
      </c>
      <c r="AI116" s="3">
        <v>-6.4389390260482723E-2</v>
      </c>
      <c r="AJ116" s="3">
        <v>-4.6175452687077574E-2</v>
      </c>
      <c r="AK116" s="3">
        <v>-1.3157894736842117E-2</v>
      </c>
      <c r="AL116" s="3">
        <v>-5.4629501002187969E-2</v>
      </c>
      <c r="AM116" s="3">
        <v>-5.5018162896790148E-3</v>
      </c>
      <c r="AN116" s="3">
        <v>-3.7595068512231843E-2</v>
      </c>
    </row>
    <row r="117" spans="1:40" x14ac:dyDescent="0.3">
      <c r="A117" s="101">
        <v>44480</v>
      </c>
      <c r="B117" s="3">
        <v>3.7712287686418225E-2</v>
      </c>
      <c r="C117" s="3">
        <v>-1.8539270539707668E-2</v>
      </c>
      <c r="D117" s="3">
        <v>1.9522676002792446E-2</v>
      </c>
      <c r="E117" s="3">
        <v>2.5274604165314773E-3</v>
      </c>
      <c r="F117" s="3">
        <v>-1.639353650342543E-2</v>
      </c>
      <c r="G117" s="3">
        <v>-1.2533338211916998E-2</v>
      </c>
      <c r="H117" s="3">
        <v>-5.0540308623130169E-4</v>
      </c>
      <c r="I117" s="3">
        <v>7.0805678381719722E-3</v>
      </c>
      <c r="J117" s="3">
        <v>5.0091379099757288E-3</v>
      </c>
      <c r="K117" s="3">
        <v>1.0526315789473648E-2</v>
      </c>
      <c r="L117" s="3">
        <v>1.4115746266024472E-2</v>
      </c>
      <c r="M117" s="3">
        <v>-0.29298848252172155</v>
      </c>
      <c r="N117" s="3">
        <v>-1.6199179793664611E-2</v>
      </c>
      <c r="O117" s="3">
        <v>4.7931884514927133E-3</v>
      </c>
      <c r="P117" s="3">
        <v>-1.233039533479637E-2</v>
      </c>
      <c r="Q117" s="3">
        <v>-1.8123531363881593E-2</v>
      </c>
      <c r="R117" s="3">
        <v>-1.3027714978064105E-2</v>
      </c>
      <c r="S117" s="3">
        <v>0</v>
      </c>
      <c r="T117" s="3">
        <v>3.8421278448312696E-2</v>
      </c>
      <c r="U117" s="3">
        <v>-1.2767881388495491E-3</v>
      </c>
      <c r="V117" s="3">
        <v>-2.3923511241167681E-3</v>
      </c>
      <c r="W117" s="3">
        <v>2.2883276816567634E-2</v>
      </c>
      <c r="X117" s="3">
        <v>-5.7101595458044132E-3</v>
      </c>
      <c r="Y117" s="3">
        <v>-7.6779820561740011E-3</v>
      </c>
      <c r="Z117" s="3">
        <v>3.9254170755643695E-3</v>
      </c>
      <c r="AA117" s="3">
        <v>1.1846704945964326E-2</v>
      </c>
      <c r="AB117" s="3">
        <v>3.7050283223406463E-2</v>
      </c>
      <c r="AC117" s="3">
        <v>4.9164917102611845E-2</v>
      </c>
      <c r="AD117" s="3">
        <v>2.3645672638664801E-2</v>
      </c>
      <c r="AE117" s="3">
        <v>2.4378979513679459E-3</v>
      </c>
      <c r="AF117" s="3">
        <v>1.1870506206740107E-2</v>
      </c>
      <c r="AG117" s="3">
        <v>8.6107921928816628E-3</v>
      </c>
      <c r="AH117" s="3">
        <v>1.0135164050500418E-2</v>
      </c>
      <c r="AI117" s="3">
        <v>1.2591656153096232E-2</v>
      </c>
      <c r="AJ117" s="3">
        <v>6.389312496496693E-3</v>
      </c>
      <c r="AK117" s="3">
        <v>3.3333333333333361E-2</v>
      </c>
      <c r="AL117" s="3">
        <v>3.3376837528493054E-2</v>
      </c>
      <c r="AM117" s="3">
        <v>3.6957061059498676E-2</v>
      </c>
      <c r="AN117" s="3">
        <v>1.524923565980647E-2</v>
      </c>
    </row>
    <row r="118" spans="1:40" x14ac:dyDescent="0.3">
      <c r="A118" s="101">
        <v>44481</v>
      </c>
      <c r="B118" s="3">
        <v>1.6846392042534398E-3</v>
      </c>
      <c r="C118" s="3">
        <v>-9.7859853189853525E-3</v>
      </c>
      <c r="D118" s="3">
        <v>-8.510523113169759E-3</v>
      </c>
      <c r="E118" s="3">
        <v>-1.1665213278223858E-3</v>
      </c>
      <c r="F118" s="3">
        <v>-2.9166508471093451E-3</v>
      </c>
      <c r="G118" s="3">
        <v>-1.2414683730261031E-2</v>
      </c>
      <c r="H118" s="3">
        <v>1.7970890068354662E-3</v>
      </c>
      <c r="I118" s="3">
        <v>-1.6225316702291662E-3</v>
      </c>
      <c r="J118" s="3">
        <v>5.3779209742652002E-3</v>
      </c>
      <c r="K118" s="3">
        <v>0</v>
      </c>
      <c r="L118" s="3">
        <v>2.5274604165314773E-3</v>
      </c>
      <c r="M118" s="3">
        <v>0.64647042012003431</v>
      </c>
      <c r="N118" s="3">
        <v>3.4294763747084671E-2</v>
      </c>
      <c r="O118" s="3">
        <v>1.4695628550529385E-2</v>
      </c>
      <c r="P118" s="3">
        <v>3.3083583021223481E-2</v>
      </c>
      <c r="Q118" s="3">
        <v>2.1715520242484984E-3</v>
      </c>
      <c r="R118" s="3">
        <v>5.019755170999006E-2</v>
      </c>
      <c r="S118" s="3">
        <v>8.3366187665154627E-3</v>
      </c>
      <c r="T118" s="3">
        <v>-2.1190673860904858E-2</v>
      </c>
      <c r="U118" s="3">
        <v>-3.0682407994530071E-3</v>
      </c>
      <c r="V118" s="3">
        <v>1.0791345479619742E-2</v>
      </c>
      <c r="W118" s="3">
        <v>1.7897101343548199E-2</v>
      </c>
      <c r="X118" s="3">
        <v>2.2971978392630415E-2</v>
      </c>
      <c r="Y118" s="3">
        <v>-1.4792569498945714E-3</v>
      </c>
      <c r="Z118" s="3">
        <v>4.887585532746719E-3</v>
      </c>
      <c r="AA118" s="3">
        <v>-5.547305630345821E-2</v>
      </c>
      <c r="AB118" s="3">
        <v>-5.6017973100177497E-2</v>
      </c>
      <c r="AC118" s="3">
        <v>-6.3098681836993506E-2</v>
      </c>
      <c r="AD118" s="3">
        <v>-7.979850199252023E-3</v>
      </c>
      <c r="AE118" s="3">
        <v>-7.1261411915889902E-2</v>
      </c>
      <c r="AF118" s="3">
        <v>1.5641898380970205E-2</v>
      </c>
      <c r="AG118" s="3">
        <v>-6.8297666476949325E-3</v>
      </c>
      <c r="AH118" s="3">
        <v>0</v>
      </c>
      <c r="AI118" s="3">
        <v>-2.2238410443611113E-2</v>
      </c>
      <c r="AJ118" s="3">
        <v>-2.262747071002694E-2</v>
      </c>
      <c r="AK118" s="3">
        <v>-1.9354838709677438E-2</v>
      </c>
      <c r="AL118" s="3">
        <v>3.4308708302493648E-2</v>
      </c>
      <c r="AM118" s="3">
        <v>-5.6464571325799108E-2</v>
      </c>
      <c r="AN118" s="3">
        <v>-5.4456458365466393E-2</v>
      </c>
    </row>
    <row r="119" spans="1:40" x14ac:dyDescent="0.3">
      <c r="A119" s="101">
        <v>44482</v>
      </c>
      <c r="B119" s="3">
        <v>-7.6885654782276342E-3</v>
      </c>
      <c r="C119" s="3">
        <v>-2.2982640653418471E-4</v>
      </c>
      <c r="D119" s="3">
        <v>-4.2918961112596212E-3</v>
      </c>
      <c r="E119" s="3">
        <v>-9.0784929841219841E-3</v>
      </c>
      <c r="F119" s="3">
        <v>1.2536144162354076E-3</v>
      </c>
      <c r="G119" s="3">
        <v>1.899673041092553E-2</v>
      </c>
      <c r="H119" s="3">
        <v>-6.1369075069992319E-4</v>
      </c>
      <c r="I119" s="3">
        <v>-1.4626128541487314E-2</v>
      </c>
      <c r="J119" s="3">
        <v>-9.0022378521513492E-3</v>
      </c>
      <c r="K119" s="3">
        <v>2.5000000000000022E-2</v>
      </c>
      <c r="L119" s="3">
        <v>-1.1665213278223858E-3</v>
      </c>
      <c r="M119" s="3">
        <v>-0.5415726436382573</v>
      </c>
      <c r="N119" s="3">
        <v>8.0148518670663249E-3</v>
      </c>
      <c r="O119" s="3">
        <v>-1.2738734868690482E-2</v>
      </c>
      <c r="P119" s="3">
        <v>-1.2688762095997699E-2</v>
      </c>
      <c r="Q119" s="3">
        <v>-4.3336943364198251E-3</v>
      </c>
      <c r="R119" s="3">
        <v>-9.1743527922533291E-3</v>
      </c>
      <c r="S119" s="3">
        <v>7.4589309884770917E-3</v>
      </c>
      <c r="T119" s="3">
        <v>5.0859067525579213E-2</v>
      </c>
      <c r="U119" s="3">
        <v>-3.3342506054900886E-3</v>
      </c>
      <c r="V119" s="3">
        <v>5.9311638551599478E-3</v>
      </c>
      <c r="W119" s="3">
        <v>-3.7676490570682951E-3</v>
      </c>
      <c r="X119" s="3">
        <v>-2.1052678362573116E-2</v>
      </c>
      <c r="Y119" s="3">
        <v>4.3302889957919297E-3</v>
      </c>
      <c r="Z119" s="3">
        <v>4.8638132295720539E-3</v>
      </c>
      <c r="AA119" s="3">
        <v>3.213582686601011E-2</v>
      </c>
      <c r="AB119" s="3">
        <v>-8.2691364398637451E-4</v>
      </c>
      <c r="AC119" s="3">
        <v>-6.6512108995027313E-3</v>
      </c>
      <c r="AD119" s="3">
        <v>2.5825527792514614E-2</v>
      </c>
      <c r="AE119" s="3">
        <v>2.2134442355764197E-2</v>
      </c>
      <c r="AF119" s="3">
        <v>3.6051581276588494E-2</v>
      </c>
      <c r="AG119" s="3">
        <v>1.8338050525040041E-2</v>
      </c>
      <c r="AH119" s="3">
        <v>-2.9543004287035615E-2</v>
      </c>
      <c r="AI119" s="3">
        <v>1.6082356368014458E-2</v>
      </c>
      <c r="AJ119" s="3">
        <v>1.9237074901089335E-2</v>
      </c>
      <c r="AK119" s="3">
        <v>6.5789473684210583E-3</v>
      </c>
      <c r="AL119" s="3">
        <v>3.0968223897053747E-3</v>
      </c>
      <c r="AM119" s="3">
        <v>1.7614674351845092E-2</v>
      </c>
      <c r="AN119" s="3">
        <v>-1.0430947431152835E-2</v>
      </c>
    </row>
    <row r="120" spans="1:40" x14ac:dyDescent="0.3">
      <c r="A120" s="101">
        <v>44483</v>
      </c>
      <c r="B120" s="3">
        <v>0</v>
      </c>
      <c r="C120" s="3">
        <v>-1.149396194267772E-3</v>
      </c>
      <c r="D120" s="3">
        <v>6.4657034975821289E-3</v>
      </c>
      <c r="E120" s="3">
        <v>7.0709453415435108E-3</v>
      </c>
      <c r="F120" s="3">
        <v>-5.467451432734198E-2</v>
      </c>
      <c r="G120" s="3">
        <v>-1.6948131732034267E-3</v>
      </c>
      <c r="H120" s="3">
        <v>3.9460201879265196E-3</v>
      </c>
      <c r="I120" s="3">
        <v>-1.2094671483576454E-2</v>
      </c>
      <c r="J120" s="3">
        <v>1.6851009041554284E-2</v>
      </c>
      <c r="K120" s="3">
        <v>0</v>
      </c>
      <c r="L120" s="3">
        <v>-9.0784929841219841E-3</v>
      </c>
      <c r="M120" s="3">
        <v>0.61416130253691781</v>
      </c>
      <c r="N120" s="3">
        <v>1.4159733699325572E-2</v>
      </c>
      <c r="O120" s="3">
        <v>1.2980079687805315E-2</v>
      </c>
      <c r="P120" s="3">
        <v>1.6523929008567969E-2</v>
      </c>
      <c r="Q120" s="3">
        <v>-1.0881529007570329E-2</v>
      </c>
      <c r="R120" s="3">
        <v>7.9629612360032371E-3</v>
      </c>
      <c r="S120" s="3">
        <v>-1.8555237695527861E-3</v>
      </c>
      <c r="T120" s="3">
        <v>-4.1203384889160186E-2</v>
      </c>
      <c r="U120" s="3">
        <v>-1.3638564876689232E-2</v>
      </c>
      <c r="V120" s="3">
        <v>2.3584972447321024E-3</v>
      </c>
      <c r="W120" s="3">
        <v>-1.9350818674565444E-2</v>
      </c>
      <c r="X120" s="3">
        <v>1.194838766778466E-3</v>
      </c>
      <c r="Y120" s="3">
        <v>1.2934696478477437E-2</v>
      </c>
      <c r="Z120" s="3">
        <v>-1.9361084220715947E-3</v>
      </c>
      <c r="AA120" s="3">
        <v>5.8400619921634145E-2</v>
      </c>
      <c r="AB120" s="3">
        <v>1.5353695907543326E-2</v>
      </c>
      <c r="AC120" s="3">
        <v>1.5075004691326372E-2</v>
      </c>
      <c r="AD120" s="3">
        <v>1.0730471599607791E-2</v>
      </c>
      <c r="AE120" s="3">
        <v>-1.6386310508838275E-2</v>
      </c>
      <c r="AF120" s="3">
        <v>1.7905369020816582E-2</v>
      </c>
      <c r="AG120" s="3">
        <v>1.8007878446820499E-2</v>
      </c>
      <c r="AH120" s="3">
        <v>3.3888668414654294E-2</v>
      </c>
      <c r="AI120" s="3">
        <v>4.423831369611133E-2</v>
      </c>
      <c r="AJ120" s="3">
        <v>1.7975396053849044E-2</v>
      </c>
      <c r="AK120" s="3">
        <v>2.6143790849673224E-2</v>
      </c>
      <c r="AL120" s="3">
        <v>1.4870574709459882E-2</v>
      </c>
      <c r="AM120" s="3">
        <v>6.403383524780891E-3</v>
      </c>
      <c r="AN120" s="3">
        <v>1.4621518629656551E-2</v>
      </c>
    </row>
    <row r="121" spans="1:40" x14ac:dyDescent="0.3">
      <c r="A121" s="101">
        <v>44484</v>
      </c>
      <c r="B121" s="3">
        <v>3.6319653622539656E-3</v>
      </c>
      <c r="C121" s="3">
        <v>9.8963670377663331E-3</v>
      </c>
      <c r="D121" s="3">
        <v>7.286548522324101E-3</v>
      </c>
      <c r="E121" s="3">
        <v>2.5329336367216071E-2</v>
      </c>
      <c r="F121" s="3">
        <v>2.163369931163998E-2</v>
      </c>
      <c r="G121" s="3">
        <v>1.4608196542528894E-3</v>
      </c>
      <c r="H121" s="3">
        <v>-9.0843286283026137E-4</v>
      </c>
      <c r="I121" s="3">
        <v>-3.8953276705601904E-3</v>
      </c>
      <c r="J121" s="3">
        <v>-3.3659307104067777E-3</v>
      </c>
      <c r="K121" s="3">
        <v>1.4227642276422823E-2</v>
      </c>
      <c r="L121" s="3">
        <v>7.0709453415435108E-3</v>
      </c>
      <c r="M121" s="3">
        <v>-0.20994604738447104</v>
      </c>
      <c r="N121" s="3">
        <v>-7.0884880259375199E-3</v>
      </c>
      <c r="O121" s="3">
        <v>3.8065634478037305E-3</v>
      </c>
      <c r="P121" s="3">
        <v>3.4316614430065312E-2</v>
      </c>
      <c r="Q121" s="3">
        <v>7.040718102919874E-2</v>
      </c>
      <c r="R121" s="3">
        <v>1.9658264098126113E-2</v>
      </c>
      <c r="S121" s="3">
        <v>-7.2283514515687772E-3</v>
      </c>
      <c r="T121" s="3">
        <v>4.7748530118571211E-3</v>
      </c>
      <c r="U121" s="3">
        <v>7.8260185537043893E-4</v>
      </c>
      <c r="V121" s="3">
        <v>1.1764638287746584E-2</v>
      </c>
      <c r="W121" s="3">
        <v>-5.8168846213008654E-3</v>
      </c>
      <c r="X121" s="3">
        <v>1.5513054152121498E-2</v>
      </c>
      <c r="Y121" s="3">
        <v>6.7205263502565578E-4</v>
      </c>
      <c r="Z121" s="3">
        <v>8.7293889427739919E-3</v>
      </c>
      <c r="AA121" s="3">
        <v>-6.888485345608944E-3</v>
      </c>
      <c r="AB121" s="3">
        <v>4.0836611693880524E-2</v>
      </c>
      <c r="AC121" s="3">
        <v>8.322660383987654E-2</v>
      </c>
      <c r="AD121" s="3">
        <v>-5.3082321412512993E-3</v>
      </c>
      <c r="AE121" s="3">
        <v>5.9904603176947194E-2</v>
      </c>
      <c r="AF121" s="3">
        <v>-1.1948178101401865E-2</v>
      </c>
      <c r="AG121" s="3">
        <v>-3.5378606965174107E-2</v>
      </c>
      <c r="AH121" s="3">
        <v>-4.4442317598742786E-4</v>
      </c>
      <c r="AI121" s="3">
        <v>-3.5513899765677774E-3</v>
      </c>
      <c r="AJ121" s="3">
        <v>2.2072405408734782E-2</v>
      </c>
      <c r="AK121" s="3">
        <v>0</v>
      </c>
      <c r="AL121" s="3">
        <v>5.9943875262999873E-2</v>
      </c>
      <c r="AM121" s="3">
        <v>1.9970467099112356E-2</v>
      </c>
      <c r="AN121" s="3">
        <v>6.3229663159093882E-2</v>
      </c>
    </row>
    <row r="122" spans="1:40" x14ac:dyDescent="0.3">
      <c r="A122" s="101">
        <v>44487</v>
      </c>
      <c r="B122" s="3">
        <v>5.1628466114690269E-2</v>
      </c>
      <c r="C122" s="3">
        <v>-1.230632256183424E-2</v>
      </c>
      <c r="D122" s="3">
        <v>-3.8297977298892283E-2</v>
      </c>
      <c r="E122" s="3">
        <v>-2.2236995062435611E-2</v>
      </c>
      <c r="F122" s="3">
        <v>-3.8893659699297548E-2</v>
      </c>
      <c r="G122" s="3">
        <v>-9.2249348068289966E-3</v>
      </c>
      <c r="H122" s="3">
        <v>1.39105738473977E-3</v>
      </c>
      <c r="I122" s="3">
        <v>-2.7932575610114894E-3</v>
      </c>
      <c r="J122" s="3">
        <v>9.0937305135081054E-4</v>
      </c>
      <c r="K122" s="3">
        <v>0</v>
      </c>
      <c r="L122" s="3">
        <v>2.5329336367216071E-2</v>
      </c>
      <c r="M122" s="3">
        <v>0.53770783847980996</v>
      </c>
      <c r="N122" s="3">
        <v>-9.0859570663093716E-3</v>
      </c>
      <c r="O122" s="3">
        <v>5.6881301035828745E-3</v>
      </c>
      <c r="P122" s="3">
        <v>9.3131548311990772E-3</v>
      </c>
      <c r="Q122" s="3">
        <v>-2.8777040828058421E-2</v>
      </c>
      <c r="R122" s="3">
        <v>1.3423363218930682E-2</v>
      </c>
      <c r="S122" s="3">
        <v>3.7372445902296214E-2</v>
      </c>
      <c r="T122" s="3">
        <v>3.3943766713527822E-4</v>
      </c>
      <c r="U122" s="3">
        <v>-3.2846709902841727E-2</v>
      </c>
      <c r="V122" s="3">
        <v>-1.0465096707556893E-2</v>
      </c>
      <c r="W122" s="3">
        <v>1.7940776867376822E-2</v>
      </c>
      <c r="X122" s="3">
        <v>-1.0575816934801816E-2</v>
      </c>
      <c r="Y122" s="3">
        <v>-5.1491465287865096E-3</v>
      </c>
      <c r="Z122" s="3">
        <v>1.0576923076923022E-2</v>
      </c>
      <c r="AA122" s="3">
        <v>4.0643303275371905E-2</v>
      </c>
      <c r="AB122" s="3">
        <v>3.5493591846822763E-2</v>
      </c>
      <c r="AC122" s="3">
        <v>2.5401864684357709E-2</v>
      </c>
      <c r="AD122" s="3">
        <v>2.0525387748967217E-2</v>
      </c>
      <c r="AE122" s="3">
        <v>4.349038067708029E-2</v>
      </c>
      <c r="AF122" s="3">
        <v>5.1058337056362618E-2</v>
      </c>
      <c r="AG122" s="3">
        <v>1.7191403026280692E-3</v>
      </c>
      <c r="AH122" s="3">
        <v>4.6020446923296265E-2</v>
      </c>
      <c r="AI122" s="3">
        <v>3.7869191457273153E-2</v>
      </c>
      <c r="AJ122" s="3">
        <v>1.8533068120036026E-2</v>
      </c>
      <c r="AK122" s="3">
        <v>1.2738853503184724E-2</v>
      </c>
      <c r="AL122" s="3">
        <v>8.1412590764983681E-3</v>
      </c>
      <c r="AM122" s="3">
        <v>3.3826335836772151E-2</v>
      </c>
      <c r="AN122" s="3">
        <v>2.4941730892283895E-2</v>
      </c>
    </row>
    <row r="123" spans="1:40" x14ac:dyDescent="0.3">
      <c r="A123" s="101">
        <v>44488</v>
      </c>
      <c r="B123" s="3">
        <v>2.8446914047518188E-2</v>
      </c>
      <c r="C123" s="3">
        <v>-5.3068579109095144E-3</v>
      </c>
      <c r="D123" s="3">
        <v>-1.5486582314933162E-2</v>
      </c>
      <c r="E123" s="3">
        <v>5.8852353078244261E-2</v>
      </c>
      <c r="F123" s="3">
        <v>2.5629430932002761E-2</v>
      </c>
      <c r="G123" s="3">
        <v>3.4179519181694158E-2</v>
      </c>
      <c r="H123" s="3">
        <v>1.6785260804606378E-3</v>
      </c>
      <c r="I123" s="3">
        <v>-1.9047642551555985E-2</v>
      </c>
      <c r="J123" s="3">
        <v>2.0763719364285203E-3</v>
      </c>
      <c r="K123" s="3">
        <v>1.2024048096192307E-2</v>
      </c>
      <c r="L123" s="3">
        <v>-2.2236995062435611E-2</v>
      </c>
      <c r="M123" s="3">
        <v>6.1015640084958488E-2</v>
      </c>
      <c r="N123" s="3">
        <v>-1.8011030168363654E-2</v>
      </c>
      <c r="O123" s="3">
        <v>2.2624673450961551E-2</v>
      </c>
      <c r="P123" s="3">
        <v>3.114181084198395E-2</v>
      </c>
      <c r="Q123" s="3">
        <v>1.4814746520436453E-2</v>
      </c>
      <c r="R123" s="3">
        <v>5.067153783944736E-3</v>
      </c>
      <c r="S123" s="3">
        <v>-3.5318070275069182E-4</v>
      </c>
      <c r="T123" s="3">
        <v>-2.3752574181096042E-3</v>
      </c>
      <c r="U123" s="3">
        <v>2.5067363862674552E-2</v>
      </c>
      <c r="V123" s="3">
        <v>-9.4006313403241296E-3</v>
      </c>
      <c r="W123" s="3">
        <v>1.6195626196902669E-2</v>
      </c>
      <c r="X123" s="3">
        <v>-4.7496439310992404E-4</v>
      </c>
      <c r="Y123" s="3">
        <v>-2.0984506329113924E-2</v>
      </c>
      <c r="Z123" s="3">
        <v>-1.4272121788772631E-2</v>
      </c>
      <c r="AA123" s="3">
        <v>-1.8580654787240022E-2</v>
      </c>
      <c r="AB123" s="3">
        <v>-1.1359855361909659E-3</v>
      </c>
      <c r="AC123" s="3">
        <v>-4.3097225131263307E-3</v>
      </c>
      <c r="AD123" s="3">
        <v>6.0337964668743541E-2</v>
      </c>
      <c r="AE123" s="3">
        <v>0.1257442604260576</v>
      </c>
      <c r="AF123" s="3">
        <v>-6.3598680406157862E-2</v>
      </c>
      <c r="AG123" s="3">
        <v>5.7208237986268798E-3</v>
      </c>
      <c r="AH123" s="3">
        <v>-1.0628099234074842E-3</v>
      </c>
      <c r="AI123" s="3">
        <v>1.4349685699550611E-2</v>
      </c>
      <c r="AJ123" s="3">
        <v>-6.168029525081528E-3</v>
      </c>
      <c r="AK123" s="3">
        <v>-6.2893081761006345E-3</v>
      </c>
      <c r="AL123" s="3">
        <v>-9.1870676311698912E-4</v>
      </c>
      <c r="AM123" s="3">
        <v>1.887982678916542E-3</v>
      </c>
      <c r="AN123" s="3">
        <v>-3.1999336592438156E-3</v>
      </c>
    </row>
    <row r="124" spans="1:40" x14ac:dyDescent="0.3">
      <c r="A124" s="101">
        <v>44489</v>
      </c>
      <c r="B124" s="3">
        <v>6.691307156833046E-4</v>
      </c>
      <c r="C124" s="3">
        <v>1.2758065043556173E-2</v>
      </c>
      <c r="D124" s="3">
        <v>-2.2472351740523092E-3</v>
      </c>
      <c r="E124" s="3">
        <v>-8.3211884345183677E-3</v>
      </c>
      <c r="F124" s="3">
        <v>-5.260846417520117E-3</v>
      </c>
      <c r="G124" s="3">
        <v>-1.1965741803459131E-2</v>
      </c>
      <c r="H124" s="3">
        <v>6.03112348635154E-4</v>
      </c>
      <c r="I124" s="3">
        <v>-8.566415124211765E-3</v>
      </c>
      <c r="J124" s="3">
        <v>5.6988621711728509E-3</v>
      </c>
      <c r="K124" s="3">
        <v>0</v>
      </c>
      <c r="L124" s="3">
        <v>5.8852353078244261E-2</v>
      </c>
      <c r="M124" s="3">
        <v>-0.39781619654231121</v>
      </c>
      <c r="N124" s="3">
        <v>5.2244037973898216E-3</v>
      </c>
      <c r="O124" s="3">
        <v>-6.5634313129809474E-3</v>
      </c>
      <c r="P124" s="3">
        <v>-8.3892062857498541E-3</v>
      </c>
      <c r="Q124" s="3">
        <v>-2.1897810100091529E-2</v>
      </c>
      <c r="R124" s="3">
        <v>8.3141879867849201E-3</v>
      </c>
      <c r="S124" s="3">
        <v>-4.8763318758303149E-2</v>
      </c>
      <c r="T124" s="3">
        <v>4.7619299991791715E-3</v>
      </c>
      <c r="U124" s="3">
        <v>2.1824824226790281E-2</v>
      </c>
      <c r="V124" s="3">
        <v>2.0165977456831883E-2</v>
      </c>
      <c r="W124" s="3">
        <v>1.0937510970997839E-2</v>
      </c>
      <c r="X124" s="3">
        <v>-1.9011881225671128E-3</v>
      </c>
      <c r="Y124" s="3">
        <v>-3.5628662553071067E-3</v>
      </c>
      <c r="Z124" s="3">
        <v>-6.7567567567567849E-3</v>
      </c>
      <c r="AA124" s="3">
        <v>-2.0211661915160693E-2</v>
      </c>
      <c r="AB124" s="3">
        <v>-1.9968016674037938E-2</v>
      </c>
      <c r="AC124" s="3">
        <v>-4.989610033882827E-2</v>
      </c>
      <c r="AD124" s="3">
        <v>4.514412919184687E-2</v>
      </c>
      <c r="AE124" s="3">
        <v>-0.12413165801968884</v>
      </c>
      <c r="AF124" s="3">
        <v>-8.5324103251486309E-3</v>
      </c>
      <c r="AG124" s="3">
        <v>4.2662116040955635E-2</v>
      </c>
      <c r="AH124" s="3">
        <v>6.1702091647672173E-2</v>
      </c>
      <c r="AI124" s="3">
        <v>6.0213978762919576E-2</v>
      </c>
      <c r="AJ124" s="3">
        <v>3.8781500204274766E-4</v>
      </c>
      <c r="AK124" s="3">
        <v>-1.2658227848101276E-2</v>
      </c>
      <c r="AL124" s="3">
        <v>7.0952176620924044E-4</v>
      </c>
      <c r="AM124" s="3">
        <v>-8.5928509545917561E-2</v>
      </c>
      <c r="AN124" s="3">
        <v>-5.0622558952141808E-2</v>
      </c>
    </row>
    <row r="125" spans="1:40" x14ac:dyDescent="0.3">
      <c r="A125" s="101">
        <v>44490</v>
      </c>
      <c r="B125" s="3">
        <v>-2.6972729505236558E-2</v>
      </c>
      <c r="C125" s="3">
        <v>-9.3906936711013276E-3</v>
      </c>
      <c r="D125" s="3">
        <v>1.1261254039544599E-2</v>
      </c>
      <c r="E125" s="3">
        <v>-1.6925328557061522E-2</v>
      </c>
      <c r="F125" s="3">
        <v>-1.3222107334750649E-3</v>
      </c>
      <c r="G125" s="3">
        <v>1.9158930023003118E-2</v>
      </c>
      <c r="H125" s="3">
        <v>-1.6819218664280925E-3</v>
      </c>
      <c r="I125" s="3">
        <v>-2.8803212589756915E-3</v>
      </c>
      <c r="J125" s="3">
        <v>3.8633946914268589E-3</v>
      </c>
      <c r="K125" s="3">
        <v>0</v>
      </c>
      <c r="L125" s="3">
        <v>-8.3211884345183677E-3</v>
      </c>
      <c r="M125" s="3">
        <v>2.085222121486854E-2</v>
      </c>
      <c r="N125" s="3">
        <v>-1.6255700368089467E-2</v>
      </c>
      <c r="O125" s="3">
        <v>-1.7073862402208335E-2</v>
      </c>
      <c r="P125" s="3">
        <v>-3.4404906937394356E-2</v>
      </c>
      <c r="Q125" s="3">
        <v>1.0661116822568211E-2</v>
      </c>
      <c r="R125" s="3">
        <v>3.5087824893023999E-2</v>
      </c>
      <c r="S125" s="3">
        <v>5.2007456408183035E-3</v>
      </c>
      <c r="T125" s="3">
        <v>-3.3855308670985957E-4</v>
      </c>
      <c r="U125" s="3">
        <v>-1.8785304893130374E-2</v>
      </c>
      <c r="V125" s="3">
        <v>-1.162784094496166E-2</v>
      </c>
      <c r="W125" s="3">
        <v>2.2256613759339575E-2</v>
      </c>
      <c r="X125" s="3">
        <v>-1.1666714285714213E-2</v>
      </c>
      <c r="Y125" s="3">
        <v>-6.747393543739065E-3</v>
      </c>
      <c r="Z125" s="3">
        <v>-6.8027210884352299E-3</v>
      </c>
      <c r="AA125" s="3">
        <v>-2.5874740434051271E-2</v>
      </c>
      <c r="AB125" s="3">
        <v>-3.008844143072347E-3</v>
      </c>
      <c r="AC125" s="3">
        <v>-2.274274939975689E-2</v>
      </c>
      <c r="AD125" s="3">
        <v>1.85117634783971E-2</v>
      </c>
      <c r="AE125" s="3">
        <v>-2.2216249430557385E-2</v>
      </c>
      <c r="AF125" s="3">
        <v>3.5111752432111155E-2</v>
      </c>
      <c r="AG125" s="3">
        <v>1.0365521003818948E-2</v>
      </c>
      <c r="AH125" s="3">
        <v>-3.4067931969535663E-2</v>
      </c>
      <c r="AI125" s="3">
        <v>-4.8354893605765989E-2</v>
      </c>
      <c r="AJ125" s="3">
        <v>-9.6160611299340362E-3</v>
      </c>
      <c r="AK125" s="3">
        <v>6.4102564102564161E-3</v>
      </c>
      <c r="AL125" s="3">
        <v>-1.2824741626211141E-2</v>
      </c>
      <c r="AM125" s="3">
        <v>2.0701360255047773E-2</v>
      </c>
      <c r="AN125" s="3">
        <v>-3.4582943489803744E-2</v>
      </c>
    </row>
    <row r="126" spans="1:40" x14ac:dyDescent="0.3">
      <c r="A126" s="101">
        <v>44491</v>
      </c>
      <c r="B126" s="3">
        <v>-1.580768667714216E-2</v>
      </c>
      <c r="C126" s="3">
        <v>-1.4566593419408297E-2</v>
      </c>
      <c r="D126" s="3">
        <v>6.6814196471017932E-3</v>
      </c>
      <c r="E126" s="3">
        <v>-6.5293487181259484E-3</v>
      </c>
      <c r="F126" s="3">
        <v>-2.5154482395897498E-2</v>
      </c>
      <c r="G126" s="3">
        <v>2.9076822447360418E-2</v>
      </c>
      <c r="H126" s="3">
        <v>-8.9299271867466514E-4</v>
      </c>
      <c r="I126" s="3">
        <v>2.9462746302138968E-2</v>
      </c>
      <c r="J126" s="3">
        <v>3.8487276914334176E-3</v>
      </c>
      <c r="K126" s="3">
        <v>-5.9405940594059375E-2</v>
      </c>
      <c r="L126" s="3">
        <v>-1.6925328557061522E-2</v>
      </c>
      <c r="M126" s="3">
        <v>-4.9141503848431023E-2</v>
      </c>
      <c r="N126" s="3">
        <v>-1.315184518953026E-2</v>
      </c>
      <c r="O126" s="3">
        <v>-1.3896055146802262E-2</v>
      </c>
      <c r="P126" s="3">
        <v>-6.4252916807654931E-3</v>
      </c>
      <c r="Q126" s="3">
        <v>-6.3292472025451123E-3</v>
      </c>
      <c r="R126" s="3">
        <v>-1.2796729199570357E-2</v>
      </c>
      <c r="S126" s="3">
        <v>-3.8811930493615334E-4</v>
      </c>
      <c r="T126" s="3">
        <v>8.7030077243391762E-2</v>
      </c>
      <c r="U126" s="3">
        <v>3.0684448254781213E-2</v>
      </c>
      <c r="V126" s="3">
        <v>2.3529377367903205E-2</v>
      </c>
      <c r="W126" s="3">
        <v>3.1448479983227959E-2</v>
      </c>
      <c r="X126" s="3">
        <v>-1.1081643511522292E-2</v>
      </c>
      <c r="Y126" s="3">
        <v>5.6320096529526506E-3</v>
      </c>
      <c r="Z126" s="3">
        <v>3.9138943248531455E-3</v>
      </c>
      <c r="AA126" s="3">
        <v>1.6497719035730427E-2</v>
      </c>
      <c r="AB126" s="3">
        <v>3.0352550092601047E-2</v>
      </c>
      <c r="AC126" s="3">
        <v>1.4866270616539515E-2</v>
      </c>
      <c r="AD126" s="3">
        <v>1.0691441355954626E-2</v>
      </c>
      <c r="AE126" s="3">
        <v>6.659598703283226E-2</v>
      </c>
      <c r="AF126" s="3">
        <v>4.3233940273005545E-3</v>
      </c>
      <c r="AG126" s="3">
        <v>-2.1598218142548656E-2</v>
      </c>
      <c r="AH126" s="3">
        <v>-9.3361251023103969E-3</v>
      </c>
      <c r="AI126" s="3">
        <v>-8.5085354950719706E-3</v>
      </c>
      <c r="AJ126" s="3">
        <v>-3.9142866181187883E-4</v>
      </c>
      <c r="AK126" s="3">
        <v>6.3694267515923622E-3</v>
      </c>
      <c r="AL126" s="3">
        <v>7.0788385697591275E-3</v>
      </c>
      <c r="AM126" s="3">
        <v>2.1905755911747468E-2</v>
      </c>
      <c r="AN126" s="3">
        <v>3.3729594954187106E-2</v>
      </c>
    </row>
    <row r="127" spans="1:40" x14ac:dyDescent="0.3">
      <c r="A127" s="101">
        <v>44494</v>
      </c>
      <c r="B127" s="3">
        <v>-2.0949577308276787E-2</v>
      </c>
      <c r="C127" s="3">
        <v>8.9161547013213976E-3</v>
      </c>
      <c r="D127" s="3">
        <v>-4.4246413851442784E-3</v>
      </c>
      <c r="E127" s="3">
        <v>-7.8574047553280763E-3</v>
      </c>
      <c r="F127" s="3">
        <v>1.5391598810002436E-2</v>
      </c>
      <c r="G127" s="3">
        <v>6.1264028501957094E-3</v>
      </c>
      <c r="H127" s="3">
        <v>-4.2482205600848496E-3</v>
      </c>
      <c r="I127" s="3">
        <v>7.29524577589647E-3</v>
      </c>
      <c r="J127" s="3">
        <v>5.6231060050095155E-3</v>
      </c>
      <c r="K127" s="3">
        <v>5.1578947368421078E-2</v>
      </c>
      <c r="L127" s="3">
        <v>-6.5293487181259484E-3</v>
      </c>
      <c r="M127" s="3">
        <v>1.4894146948941469</v>
      </c>
      <c r="N127" s="3">
        <v>1.4010623541313817E-2</v>
      </c>
      <c r="O127" s="3">
        <v>8.1180473804136847E-3</v>
      </c>
      <c r="P127" s="3">
        <v>0</v>
      </c>
      <c r="Q127" s="3">
        <v>-1.1677215350580044E-2</v>
      </c>
      <c r="R127" s="3">
        <v>-2.3607180249078437E-2</v>
      </c>
      <c r="S127" s="3">
        <v>1.8669153082009138E-3</v>
      </c>
      <c r="T127" s="3">
        <v>-1.0280266985415907E-2</v>
      </c>
      <c r="U127" s="3">
        <v>1.0178234664045624E-2</v>
      </c>
      <c r="V127" s="3">
        <v>1.1494285707082533E-2</v>
      </c>
      <c r="W127" s="3">
        <v>-2.228097771543924E-2</v>
      </c>
      <c r="X127" s="3">
        <v>1.8270402393919669E-2</v>
      </c>
      <c r="Y127" s="3">
        <v>5.1385624446634217E-3</v>
      </c>
      <c r="Z127" s="3">
        <v>-1.2670565302144153E-2</v>
      </c>
      <c r="AA127" s="3">
        <v>-1.2873749036586514E-2</v>
      </c>
      <c r="AB127" s="3">
        <v>-2.3433240974645702E-3</v>
      </c>
      <c r="AC127" s="3">
        <v>-5.063744011497358E-3</v>
      </c>
      <c r="AD127" s="3">
        <v>-2.0451386942670194E-2</v>
      </c>
      <c r="AE127" s="3">
        <v>-2.2901050686200543E-3</v>
      </c>
      <c r="AF127" s="3">
        <v>-3.1456947935739311E-2</v>
      </c>
      <c r="AG127" s="3">
        <v>-2.207516434463757E-2</v>
      </c>
      <c r="AH127" s="3">
        <v>-7.6440638146740205E-3</v>
      </c>
      <c r="AI127" s="3">
        <v>-2.840392581893483E-2</v>
      </c>
      <c r="AJ127" s="3">
        <v>-7.9900318184873403E-3</v>
      </c>
      <c r="AK127" s="3">
        <v>0</v>
      </c>
      <c r="AL127" s="3">
        <v>-1.6374757178877508E-3</v>
      </c>
      <c r="AM127" s="3">
        <v>-8.1302895889989336E-3</v>
      </c>
      <c r="AN127" s="3">
        <v>-8.6409336391935557E-3</v>
      </c>
    </row>
    <row r="128" spans="1:40" x14ac:dyDescent="0.3">
      <c r="A128" s="101">
        <v>44495</v>
      </c>
      <c r="B128" s="3">
        <v>4.1369358876182136E-2</v>
      </c>
      <c r="C128" s="3">
        <v>-2.0465228891271264E-2</v>
      </c>
      <c r="D128" s="3">
        <v>1.1111103578517014E-2</v>
      </c>
      <c r="E128" s="3">
        <v>5.5881889110900099E-3</v>
      </c>
      <c r="F128" s="3">
        <v>-1.73873712392719E-2</v>
      </c>
      <c r="G128" s="3">
        <v>-6.8270939733632513E-3</v>
      </c>
      <c r="H128" s="3">
        <v>5.2693357366339819E-4</v>
      </c>
      <c r="I128" s="3">
        <v>-8.9135824763067299E-3</v>
      </c>
      <c r="J128" s="3">
        <v>5.5913709143385329E-3</v>
      </c>
      <c r="K128" s="3">
        <v>0</v>
      </c>
      <c r="L128" s="3">
        <v>-7.8574047553280763E-3</v>
      </c>
      <c r="M128" s="3">
        <v>-0.1642071035517759</v>
      </c>
      <c r="N128" s="3">
        <v>2.2129877727874805E-2</v>
      </c>
      <c r="O128" s="3">
        <v>-2.278912360718849E-3</v>
      </c>
      <c r="P128" s="3">
        <v>1.763727219282693E-3</v>
      </c>
      <c r="Q128" s="3">
        <v>2.1482283524745195E-3</v>
      </c>
      <c r="R128" s="3">
        <v>-4.7476249858256275E-3</v>
      </c>
      <c r="S128" s="3">
        <v>3.6895002359670266E-4</v>
      </c>
      <c r="T128" s="3">
        <v>-1.0387209949563594E-2</v>
      </c>
      <c r="U128" s="3">
        <v>2.2418018992964112E-2</v>
      </c>
      <c r="V128" s="3">
        <v>1.1363181573951849E-3</v>
      </c>
      <c r="W128" s="3">
        <v>-2.998392804597566E-3</v>
      </c>
      <c r="X128" s="3">
        <v>-3.1100718447385615E-3</v>
      </c>
      <c r="Y128" s="3">
        <v>1.3728531534919366E-2</v>
      </c>
      <c r="Z128" s="3">
        <v>8.8845014807502325E-3</v>
      </c>
      <c r="AA128" s="3">
        <v>-7.9171414760468659E-3</v>
      </c>
      <c r="AB128" s="3">
        <v>4.1949228619822521E-4</v>
      </c>
      <c r="AC128" s="3">
        <v>6.7981135974097533E-3</v>
      </c>
      <c r="AD128" s="3">
        <v>1.547885405313339E-2</v>
      </c>
      <c r="AE128" s="3">
        <v>-1.2126410016277371E-2</v>
      </c>
      <c r="AF128" s="3">
        <v>3.2478626395279965E-2</v>
      </c>
      <c r="AG128" s="3">
        <v>1.5237077609315725E-2</v>
      </c>
      <c r="AH128" s="3">
        <v>3.3027273562301916E-2</v>
      </c>
      <c r="AI128" s="3">
        <v>-6.2205488868037357E-4</v>
      </c>
      <c r="AJ128" s="3">
        <v>1.2950086163384295E-2</v>
      </c>
      <c r="AK128" s="3">
        <v>3.1645569620253049E-2</v>
      </c>
      <c r="AL128" s="3">
        <v>1.5532860679817451E-2</v>
      </c>
      <c r="AM128" s="3">
        <v>-8.0736140041698917E-3</v>
      </c>
      <c r="AN128" s="3">
        <v>5.9576498086269464E-3</v>
      </c>
    </row>
    <row r="129" spans="1:40" x14ac:dyDescent="0.3">
      <c r="A129" s="101">
        <v>44496</v>
      </c>
      <c r="B129" s="3">
        <v>-1.6666691128140641E-2</v>
      </c>
      <c r="C129" s="3">
        <v>-8.7843231546159434E-3</v>
      </c>
      <c r="D129" s="3">
        <v>-1.0989003621058733E-2</v>
      </c>
      <c r="E129" s="3">
        <v>-2.0975910077609084E-3</v>
      </c>
      <c r="F129" s="3">
        <v>-1.9056335879137902E-2</v>
      </c>
      <c r="G129" s="3">
        <v>-1.6349087497694291E-3</v>
      </c>
      <c r="H129" s="3">
        <v>1.3765699798782532E-3</v>
      </c>
      <c r="I129" s="3">
        <v>6.1831052594632126E-3</v>
      </c>
      <c r="J129" s="3">
        <v>-6.8243284713962417E-3</v>
      </c>
      <c r="K129" s="3">
        <v>-4.0040040040040968E-3</v>
      </c>
      <c r="L129" s="3">
        <v>5.5881889110900099E-3</v>
      </c>
      <c r="M129" s="3">
        <v>-0.13152775699536137</v>
      </c>
      <c r="N129" s="3">
        <v>2.1760631404471108E-2</v>
      </c>
      <c r="O129" s="3">
        <v>-5.3301682927927229E-3</v>
      </c>
      <c r="P129" s="3">
        <v>-5.2816898308867388E-3</v>
      </c>
      <c r="Q129" s="3">
        <v>-2.2508038025369787E-2</v>
      </c>
      <c r="R129" s="3">
        <v>3.3568938381027709E-2</v>
      </c>
      <c r="S129" s="3">
        <v>8.7718497065007259E-3</v>
      </c>
      <c r="T129" s="3">
        <v>-3.1802825352052053E-4</v>
      </c>
      <c r="U129" s="3">
        <v>4.9273789296527103E-3</v>
      </c>
      <c r="V129" s="3">
        <v>-1.2485798772718317E-2</v>
      </c>
      <c r="W129" s="3">
        <v>-1.9248108464144969E-2</v>
      </c>
      <c r="X129" s="3">
        <v>-2.8077707131159441E-2</v>
      </c>
      <c r="Y129" s="3">
        <v>5.1003514301985848E-4</v>
      </c>
      <c r="Z129" s="3">
        <v>-3.913894324853319E-3</v>
      </c>
      <c r="AA129" s="3">
        <v>-1.0037184429388258E-3</v>
      </c>
      <c r="AB129" s="3">
        <v>8.7204549113441381E-3</v>
      </c>
      <c r="AC129" s="3">
        <v>7.2575515902125578E-3</v>
      </c>
      <c r="AD129" s="3">
        <v>4.501941974846304E-2</v>
      </c>
      <c r="AE129" s="3">
        <v>2.0166553612453602E-2</v>
      </c>
      <c r="AF129" s="3">
        <v>5.629134650197986E-2</v>
      </c>
      <c r="AG129" s="3">
        <v>2.9460811561978942E-2</v>
      </c>
      <c r="AH129" s="3">
        <v>-4.6984994116393754E-3</v>
      </c>
      <c r="AI129" s="3">
        <v>1.3505893012954016E-2</v>
      </c>
      <c r="AJ129" s="3">
        <v>1.426575352680811E-2</v>
      </c>
      <c r="AK129" s="3">
        <v>2.4539877300613522E-2</v>
      </c>
      <c r="AL129" s="3">
        <v>2.4535683887309681E-3</v>
      </c>
      <c r="AM129" s="3">
        <v>-7.7458164836866116E-3</v>
      </c>
      <c r="AN129" s="3">
        <v>7.1904651088263067E-4</v>
      </c>
    </row>
    <row r="130" spans="1:40" x14ac:dyDescent="0.3">
      <c r="A130" s="101">
        <v>44497</v>
      </c>
      <c r="B130" s="3">
        <v>-9.2871218015969353E-4</v>
      </c>
      <c r="C130" s="3">
        <v>2.2754468433852204E-2</v>
      </c>
      <c r="D130" s="3">
        <v>2.4444473068301956E-2</v>
      </c>
      <c r="E130" s="3">
        <v>-1.3239623718151987E-2</v>
      </c>
      <c r="F130" s="3">
        <v>1.7576366614711694E-2</v>
      </c>
      <c r="G130" s="3">
        <v>3.5728932705132832E-2</v>
      </c>
      <c r="H130" s="3">
        <v>-2.2633214968389753E-3</v>
      </c>
      <c r="I130" s="3">
        <v>7.2626413576907852E-3</v>
      </c>
      <c r="J130" s="3">
        <v>7.6376478702393745E-4</v>
      </c>
      <c r="K130" s="3">
        <v>1.9095477386934803E-2</v>
      </c>
      <c r="L130" s="3">
        <v>-2.0975910077609084E-3</v>
      </c>
      <c r="M130" s="3">
        <v>-0.31547208821502415</v>
      </c>
      <c r="N130" s="3">
        <v>3.4527277441011632E-2</v>
      </c>
      <c r="O130" s="3">
        <v>5.3570962854214248E-4</v>
      </c>
      <c r="P130" s="3">
        <v>-1.1799999303835204E-3</v>
      </c>
      <c r="Q130" s="3">
        <v>1.2061472742260921E-2</v>
      </c>
      <c r="R130" s="3">
        <v>-8.547046653384174E-3</v>
      </c>
      <c r="S130" s="3">
        <v>-2.3293453531510358E-3</v>
      </c>
      <c r="T130" s="3">
        <v>-1.2726807870602193E-3</v>
      </c>
      <c r="U130" s="3">
        <v>-4.1677386172071377E-3</v>
      </c>
      <c r="V130" s="3">
        <v>-1.7241379310344827E-2</v>
      </c>
      <c r="W130" s="3">
        <v>2.6372295031771662E-2</v>
      </c>
      <c r="X130" s="3">
        <v>-6.6666666666667443E-3</v>
      </c>
      <c r="Y130" s="3">
        <v>1.9312390920389985E-2</v>
      </c>
      <c r="Z130" s="3">
        <v>7.858546168958749E-3</v>
      </c>
      <c r="AA130" s="3">
        <v>8.213879351715643E-2</v>
      </c>
      <c r="AB130" s="3">
        <v>-7.5644591177903425E-3</v>
      </c>
      <c r="AC130" s="3">
        <v>-1.4195551791511215E-2</v>
      </c>
      <c r="AD130" s="3">
        <v>-9.8371466396316599E-3</v>
      </c>
      <c r="AE130" s="3">
        <v>1.9037421818273659E-2</v>
      </c>
      <c r="AF130" s="3">
        <v>1.2225749421440725E-2</v>
      </c>
      <c r="AG130" s="3">
        <v>-6.4794816414687362E-3</v>
      </c>
      <c r="AH130" s="3">
        <v>8.8257810191678422E-3</v>
      </c>
      <c r="AI130" s="3">
        <v>1.5905170047777254E-2</v>
      </c>
      <c r="AJ130" s="3">
        <v>1.6140117204037328E-2</v>
      </c>
      <c r="AK130" s="3">
        <v>5.988023952095814E-3</v>
      </c>
      <c r="AL130" s="3">
        <v>-6.3041013147111724E-3</v>
      </c>
      <c r="AM130" s="3">
        <v>3.1934856623649787E-3</v>
      </c>
      <c r="AN130" s="3">
        <v>1.4692213423908736E-3</v>
      </c>
    </row>
    <row r="131" spans="1:40" x14ac:dyDescent="0.3">
      <c r="A131" s="101">
        <v>44498</v>
      </c>
      <c r="B131" s="3">
        <v>-2.4633919110306223E-2</v>
      </c>
      <c r="C131" s="3">
        <v>-9.3683862881630009E-4</v>
      </c>
      <c r="D131" s="3">
        <v>-9.7614034545929873E-2</v>
      </c>
      <c r="E131" s="3">
        <v>-3.2738979878097145E-2</v>
      </c>
      <c r="F131" s="3">
        <v>9.0906049263046772E-4</v>
      </c>
      <c r="G131" s="3">
        <v>-2.2566383258121117E-2</v>
      </c>
      <c r="H131" s="3">
        <v>4.8350098336096122E-4</v>
      </c>
      <c r="I131" s="3">
        <v>-3.8824780061191282E-3</v>
      </c>
      <c r="J131" s="3">
        <v>5.2128232068607136E-3</v>
      </c>
      <c r="K131" s="3">
        <v>-6.2130177514792974E-2</v>
      </c>
      <c r="L131" s="3">
        <v>-1.3239623718151987E-2</v>
      </c>
      <c r="M131" s="3">
        <v>0.48577900830606596</v>
      </c>
      <c r="N131" s="3">
        <v>2.5576966353734552E-2</v>
      </c>
      <c r="O131" s="3">
        <v>4.5371236524635067E-2</v>
      </c>
      <c r="P131" s="3">
        <v>2.9533372711164035E-3</v>
      </c>
      <c r="Q131" s="3">
        <v>-1.0834921211403171E-3</v>
      </c>
      <c r="R131" s="3">
        <v>4.3103460502129973E-2</v>
      </c>
      <c r="S131" s="3">
        <v>4.0251018556637805E-2</v>
      </c>
      <c r="T131" s="3">
        <v>1.0512857389929506E-2</v>
      </c>
      <c r="U131" s="3">
        <v>2.1171897237205941E-2</v>
      </c>
      <c r="V131" s="3">
        <v>-1.8713403521598684E-2</v>
      </c>
      <c r="W131" s="3">
        <v>-1.4939871112996622E-3</v>
      </c>
      <c r="X131" s="3">
        <v>1.8642803877703208E-2</v>
      </c>
      <c r="Y131" s="3">
        <v>-2.0557562408212784E-3</v>
      </c>
      <c r="Z131" s="3">
        <v>1.9493177387914333E-2</v>
      </c>
      <c r="AA131" s="3">
        <v>0.1019677549569715</v>
      </c>
      <c r="AB131" s="3">
        <v>-1.1391242569650387E-2</v>
      </c>
      <c r="AC131" s="3">
        <v>-1.1018178181818092E-2</v>
      </c>
      <c r="AD131" s="3">
        <v>-2.0897532279512045E-2</v>
      </c>
      <c r="AE131" s="3">
        <v>-2.1675873536122155E-2</v>
      </c>
      <c r="AF131" s="3">
        <v>1.2697341324789165E-2</v>
      </c>
      <c r="AG131" s="3">
        <v>-9.7826630434781087E-3</v>
      </c>
      <c r="AH131" s="3">
        <v>3.051787712768623E-3</v>
      </c>
      <c r="AI131" s="3">
        <v>1.1062082470142063E-2</v>
      </c>
      <c r="AJ131" s="3">
        <v>-4.3870430098065794E-3</v>
      </c>
      <c r="AK131" s="3">
        <v>-1.1904761904761916E-2</v>
      </c>
      <c r="AL131" s="3">
        <v>-1.3202304889416004E-2</v>
      </c>
      <c r="AM131" s="3">
        <v>2.4135072465981708E-3</v>
      </c>
      <c r="AN131" s="3">
        <v>-9.6312097092410877E-3</v>
      </c>
    </row>
    <row r="132" spans="1:40" x14ac:dyDescent="0.3">
      <c r="A132" s="101">
        <v>44501</v>
      </c>
      <c r="B132" s="3">
        <v>-3.6931134033658539E-2</v>
      </c>
      <c r="C132" s="3">
        <v>-1.2658238290597945E-2</v>
      </c>
      <c r="D132" s="3">
        <v>2.4041381977349778E-3</v>
      </c>
      <c r="E132" s="3">
        <v>3.5972383576378719E-2</v>
      </c>
      <c r="F132" s="3">
        <v>2.9064495822448907E-2</v>
      </c>
      <c r="G132" s="3">
        <v>2.7020972500239868E-2</v>
      </c>
      <c r="H132" s="3">
        <v>1.0210384797064791E-3</v>
      </c>
      <c r="I132" s="3">
        <v>-8.3518918888701929E-3</v>
      </c>
      <c r="J132" s="3">
        <v>3.9210214113453911E-3</v>
      </c>
      <c r="K132" s="3">
        <v>6.6246056782334473E-2</v>
      </c>
      <c r="L132" s="3">
        <v>-3.2738979878097145E-2</v>
      </c>
      <c r="M132" s="3">
        <v>-0.15636117228527868</v>
      </c>
      <c r="N132" s="3">
        <v>2.3418586662249233E-2</v>
      </c>
      <c r="O132" s="3">
        <v>2.6860658676517289E-2</v>
      </c>
      <c r="P132" s="3">
        <v>-5.7126030624263774E-2</v>
      </c>
      <c r="Q132" s="3">
        <v>6.5075229713255816E-3</v>
      </c>
      <c r="R132" s="3">
        <v>1.6446268866367075E-2</v>
      </c>
      <c r="S132" s="3">
        <v>6.4605204621821042E-3</v>
      </c>
      <c r="T132" s="3">
        <v>8.5120320585585323E-3</v>
      </c>
      <c r="U132" s="3">
        <v>7.9556551812194308E-3</v>
      </c>
      <c r="V132" s="3">
        <v>3.4565004285870109E-2</v>
      </c>
      <c r="W132" s="3">
        <v>1.6756516725874793E-2</v>
      </c>
      <c r="X132" s="3">
        <v>-1.1713030746705634E-2</v>
      </c>
      <c r="Y132" s="3">
        <v>8.1287567054798508E-3</v>
      </c>
      <c r="Z132" s="3">
        <v>8.604206500956009E-3</v>
      </c>
      <c r="AA132" s="3">
        <v>2.5953520109225487E-2</v>
      </c>
      <c r="AB132" s="3">
        <v>5.1681091294252142E-3</v>
      </c>
      <c r="AC132" s="3">
        <v>3.5665735060241731E-3</v>
      </c>
      <c r="AD132" s="3">
        <v>-4.5485861262940077E-3</v>
      </c>
      <c r="AE132" s="3">
        <v>0.10207333285759443</v>
      </c>
      <c r="AF132" s="3">
        <v>2.232432127904287E-2</v>
      </c>
      <c r="AG132" s="3">
        <v>6.0373768406901066E-3</v>
      </c>
      <c r="AH132" s="3">
        <v>8.1137172233110549E-3</v>
      </c>
      <c r="AI132" s="3">
        <v>7.9516531450049607E-3</v>
      </c>
      <c r="AJ132" s="3">
        <v>2.1271447812618431E-3</v>
      </c>
      <c r="AK132" s="3">
        <v>2.4096385542168697E-2</v>
      </c>
      <c r="AL132" s="3">
        <v>9.8123636569812482E-3</v>
      </c>
      <c r="AM132" s="3">
        <v>5.9777163208047874E-3</v>
      </c>
      <c r="AN132" s="3">
        <v>3.7224953379690739E-3</v>
      </c>
    </row>
    <row r="133" spans="1:40" x14ac:dyDescent="0.3">
      <c r="A133" s="101">
        <v>44503</v>
      </c>
      <c r="B133" s="3">
        <v>4.1068783354075933E-2</v>
      </c>
      <c r="C133" s="3">
        <v>-2.3979027437420627E-2</v>
      </c>
      <c r="D133" s="3">
        <v>-3.8369321515507995E-2</v>
      </c>
      <c r="E133" s="3">
        <v>-2.2415398407041397E-2</v>
      </c>
      <c r="F133" s="3">
        <v>6.1783411107880163E-3</v>
      </c>
      <c r="G133" s="3">
        <v>1.002297805822126E-2</v>
      </c>
      <c r="H133" s="3">
        <v>-4.5300935420758016E-3</v>
      </c>
      <c r="I133" s="3">
        <v>2.8074878537481026E-3</v>
      </c>
      <c r="J133" s="3">
        <v>-1.3857582467725863E-3</v>
      </c>
      <c r="K133" s="3">
        <v>1.9723865877711612E-3</v>
      </c>
      <c r="L133" s="3">
        <v>3.5972383576378719E-2</v>
      </c>
      <c r="M133" s="3">
        <v>-7.1485943775100397E-2</v>
      </c>
      <c r="N133" s="3">
        <v>-9.4106885462372798E-3</v>
      </c>
      <c r="O133" s="3">
        <v>-1.0334824106676759E-2</v>
      </c>
      <c r="P133" s="3">
        <v>3.497813866333533E-2</v>
      </c>
      <c r="Q133" s="3">
        <v>3.1249999649342813E-2</v>
      </c>
      <c r="R133" s="3">
        <v>-3.6425696009694662E-2</v>
      </c>
      <c r="S133" s="3">
        <v>-1.2957399663147243E-2</v>
      </c>
      <c r="T133" s="3">
        <v>1.5629911795410026E-2</v>
      </c>
      <c r="U133" s="3">
        <v>1.339380083755525E-2</v>
      </c>
      <c r="V133" s="3">
        <v>-3.4562800985584712E-3</v>
      </c>
      <c r="W133" s="3">
        <v>5.8853120210850679E-4</v>
      </c>
      <c r="X133" s="3">
        <v>3.0123481481481567E-2</v>
      </c>
      <c r="Y133" s="3">
        <v>2.2642568296802239E-3</v>
      </c>
      <c r="Z133" s="3">
        <v>1.8957345971563576E-3</v>
      </c>
      <c r="AA133" s="3">
        <v>-1.934825367643743E-2</v>
      </c>
      <c r="AB133" s="3">
        <v>-1.0957421559769228E-2</v>
      </c>
      <c r="AC133" s="3">
        <v>-1.1870704097085695E-2</v>
      </c>
      <c r="AD133" s="3">
        <v>1.1599202344892227E-2</v>
      </c>
      <c r="AE133" s="3">
        <v>2.9217417211385172E-2</v>
      </c>
      <c r="AF133" s="3">
        <v>1.6751405345852642E-2</v>
      </c>
      <c r="AG133" s="3">
        <v>8.7288597926895879E-3</v>
      </c>
      <c r="AH133" s="3">
        <v>2.26357775556634E-2</v>
      </c>
      <c r="AI133" s="3">
        <v>-9.4903648798999318E-3</v>
      </c>
      <c r="AJ133" s="3">
        <v>8.1115141269877556E-3</v>
      </c>
      <c r="AK133" s="3">
        <v>0</v>
      </c>
      <c r="AL133" s="3">
        <v>-1.231917561249004E-2</v>
      </c>
      <c r="AM133" s="3">
        <v>7.3657888960421292E-3</v>
      </c>
      <c r="AN133" s="3">
        <v>-5.6528159030461121E-3</v>
      </c>
    </row>
    <row r="134" spans="1:40" x14ac:dyDescent="0.3">
      <c r="A134" s="101">
        <v>44504</v>
      </c>
      <c r="B134" s="3">
        <v>-2.0912576056567152E-2</v>
      </c>
      <c r="C134" s="3">
        <v>1.3378645872696845E-2</v>
      </c>
      <c r="D134" s="3">
        <v>-1.995026065354974E-2</v>
      </c>
      <c r="E134" s="3">
        <v>-1.3467687685320164E-2</v>
      </c>
      <c r="F134" s="3">
        <v>1.622804321020389E-2</v>
      </c>
      <c r="G134" s="3">
        <v>3.3987793677519175E-2</v>
      </c>
      <c r="H134" s="3">
        <v>2.0164598549460926E-3</v>
      </c>
      <c r="I134" s="3">
        <v>-2.7996279323330635E-3</v>
      </c>
      <c r="J134" s="3">
        <v>-1.4761716295857869E-2</v>
      </c>
      <c r="K134" s="3">
        <v>0</v>
      </c>
      <c r="L134" s="3">
        <v>-2.2415398407041397E-2</v>
      </c>
      <c r="M134" s="3">
        <v>0.18014705882352941</v>
      </c>
      <c r="N134" s="3">
        <v>-1.3600002873093575E-2</v>
      </c>
      <c r="O134" s="3">
        <v>6.2945713946130646E-2</v>
      </c>
      <c r="P134" s="3">
        <v>-2.5950573325286708E-2</v>
      </c>
      <c r="Q134" s="3">
        <v>-5.2245943038040331E-3</v>
      </c>
      <c r="R134" s="3">
        <v>-1.6116827950743186E-2</v>
      </c>
      <c r="S134" s="3">
        <v>-9.7568830138983053E-3</v>
      </c>
      <c r="T134" s="3">
        <v>-1.3850404762336692E-2</v>
      </c>
      <c r="U134" s="3">
        <v>8.9686991913688584E-3</v>
      </c>
      <c r="V134" s="3">
        <v>-2.65896209112206E-2</v>
      </c>
      <c r="W134" s="3">
        <v>1.8823518817800051E-2</v>
      </c>
      <c r="X134" s="3">
        <v>-1.0067161791295349E-2</v>
      </c>
      <c r="Y134" s="3">
        <v>-1.2122531675612315E-2</v>
      </c>
      <c r="Z134" s="3">
        <v>-1.6083254493850514E-2</v>
      </c>
      <c r="AA134" s="3">
        <v>6.5848272871426958E-2</v>
      </c>
      <c r="AB134" s="3">
        <v>-2.9742652723398568E-2</v>
      </c>
      <c r="AC134" s="3">
        <v>-4.7090060937779663E-3</v>
      </c>
      <c r="AD134" s="3">
        <v>1.1466351113502511E-2</v>
      </c>
      <c r="AE134" s="3">
        <v>5.1075363813443617E-2</v>
      </c>
      <c r="AF134" s="3">
        <v>1.8534618997264298E-2</v>
      </c>
      <c r="AG134" s="3">
        <v>1.0816711736073572E-2</v>
      </c>
      <c r="AH134" s="3">
        <v>-3.0005005586297945E-2</v>
      </c>
      <c r="AI134" s="3">
        <v>1.7967038878104319E-4</v>
      </c>
      <c r="AJ134" s="3">
        <v>8.6482548559729689E-3</v>
      </c>
      <c r="AK134" s="3">
        <v>1.1764705882352951E-2</v>
      </c>
      <c r="AL134" s="3">
        <v>-4.2073598473424722E-3</v>
      </c>
      <c r="AM134" s="3">
        <v>-2.3799760851215733E-2</v>
      </c>
      <c r="AN134" s="3">
        <v>-3.2590823820143359E-4</v>
      </c>
    </row>
    <row r="135" spans="1:40" x14ac:dyDescent="0.3">
      <c r="A135" s="101">
        <v>44505</v>
      </c>
      <c r="B135" s="3">
        <v>-2.2815474827602253E-2</v>
      </c>
      <c r="C135" s="3">
        <v>-3.0004695655510855E-2</v>
      </c>
      <c r="D135" s="3">
        <v>-1.781153759969107E-2</v>
      </c>
      <c r="E135" s="3">
        <v>-1.0596399997722198E-2</v>
      </c>
      <c r="F135" s="3">
        <v>-8.631561814962898E-4</v>
      </c>
      <c r="G135" s="3">
        <v>-5.2990543273350482E-2</v>
      </c>
      <c r="H135" s="3">
        <v>9.2068297937384215E-4</v>
      </c>
      <c r="I135" s="3">
        <v>-6.1762201804001224E-3</v>
      </c>
      <c r="J135" s="3">
        <v>1.7672042874004906E-2</v>
      </c>
      <c r="K135" s="3">
        <v>5.9055118110236705E-3</v>
      </c>
      <c r="L135" s="3">
        <v>-1.3467687685320164E-2</v>
      </c>
      <c r="M135" s="3">
        <v>-0.37932930181418362</v>
      </c>
      <c r="N135" s="3">
        <v>8.1122286281742038E-4</v>
      </c>
      <c r="O135" s="3">
        <v>6.0961497114384315E-4</v>
      </c>
      <c r="P135" s="3">
        <v>-2.6022244487127845E-2</v>
      </c>
      <c r="Q135" s="3">
        <v>-5.2520996798812135E-3</v>
      </c>
      <c r="R135" s="3">
        <v>-1.2864457399136588E-2</v>
      </c>
      <c r="S135" s="3">
        <v>-1.2898560141573246E-2</v>
      </c>
      <c r="T135" s="3">
        <v>3.7452236872032949E-3</v>
      </c>
      <c r="U135" s="3">
        <v>1.0760280139385677E-2</v>
      </c>
      <c r="V135" s="3">
        <v>-2.3753036862690664E-3</v>
      </c>
      <c r="W135" s="3">
        <v>-4.468823177108721E-2</v>
      </c>
      <c r="X135" s="3">
        <v>2.2033898838593281E-2</v>
      </c>
      <c r="Y135" s="3">
        <v>6.6934237321141224E-3</v>
      </c>
      <c r="Z135" s="3">
        <v>1.923076923076882E-3</v>
      </c>
      <c r="AA135" s="3">
        <v>6.4252177020733214E-2</v>
      </c>
      <c r="AB135" s="3">
        <v>1.1594106566890069E-2</v>
      </c>
      <c r="AC135" s="3">
        <v>3.1628432818235623E-2</v>
      </c>
      <c r="AD135" s="3">
        <v>2.1298362009595166E-2</v>
      </c>
      <c r="AE135" s="3">
        <v>-1.2907575268632846E-2</v>
      </c>
      <c r="AF135" s="3">
        <v>-3.177448752011191E-3</v>
      </c>
      <c r="AG135" s="3">
        <v>-2.1402353054983882E-3</v>
      </c>
      <c r="AH135" s="3">
        <v>-6.0851080580225257E-3</v>
      </c>
      <c r="AI135" s="3">
        <v>-3.4128267251445949E-3</v>
      </c>
      <c r="AJ135" s="3">
        <v>4.2493866308000094E-3</v>
      </c>
      <c r="AK135" s="3">
        <v>5.2325581395348882E-2</v>
      </c>
      <c r="AL135" s="3">
        <v>1.9609698516753992E-2</v>
      </c>
      <c r="AM135" s="3">
        <v>1.3134174112858957E-2</v>
      </c>
      <c r="AN135" s="3">
        <v>6.3484908726301982E-3</v>
      </c>
    </row>
    <row r="136" spans="1:40" x14ac:dyDescent="0.3">
      <c r="A136" s="101">
        <v>44508</v>
      </c>
      <c r="B136" s="3">
        <v>-4.4708459375987315E-3</v>
      </c>
      <c r="C136" s="3">
        <v>8.6612021375227569E-3</v>
      </c>
      <c r="D136" s="3">
        <v>-5.958560006322694E-2</v>
      </c>
      <c r="E136" s="3">
        <v>8.5601821016400102E-3</v>
      </c>
      <c r="F136" s="3">
        <v>4.7515453015787405E-3</v>
      </c>
      <c r="G136" s="3">
        <v>-5.2951625188878915E-2</v>
      </c>
      <c r="H136" s="3">
        <v>-8.0858319790292048E-3</v>
      </c>
      <c r="I136" s="3">
        <v>-1.9774026014617044E-2</v>
      </c>
      <c r="J136" s="3">
        <v>-2.2650181925290412E-2</v>
      </c>
      <c r="K136" s="3">
        <v>-1.1741682974559783E-2</v>
      </c>
      <c r="L136" s="3">
        <v>-1.0596399997722198E-2</v>
      </c>
      <c r="M136" s="3">
        <v>-2.3619722468260999E-3</v>
      </c>
      <c r="N136" s="3">
        <v>-2.4312214282418768E-3</v>
      </c>
      <c r="O136" s="3">
        <v>-2.1262219034925287E-2</v>
      </c>
      <c r="P136" s="3">
        <v>8.9058524173027225E-3</v>
      </c>
      <c r="Q136" s="3">
        <v>2.4287220713030567E-2</v>
      </c>
      <c r="R136" s="3">
        <v>2.502172482892031E-2</v>
      </c>
      <c r="S136" s="3">
        <v>0</v>
      </c>
      <c r="T136" s="3">
        <v>-4.6641971233371228E-3</v>
      </c>
      <c r="U136" s="3">
        <v>-4.1657117409444298E-3</v>
      </c>
      <c r="V136" s="3">
        <v>-1.0714265307987521E-2</v>
      </c>
      <c r="W136" s="3">
        <v>-2.4170723877548148E-4</v>
      </c>
      <c r="X136" s="3">
        <v>-1.089786806202017E-2</v>
      </c>
      <c r="Y136" s="3">
        <v>-2.3049584952340069E-2</v>
      </c>
      <c r="Z136" s="3">
        <v>4.4145873320537508E-2</v>
      </c>
      <c r="AA136" s="3">
        <v>3.352658606502288E-2</v>
      </c>
      <c r="AB136" s="3">
        <v>7.4673362203772136E-3</v>
      </c>
      <c r="AC136" s="3">
        <v>-4.8028923066676232E-3</v>
      </c>
      <c r="AD136" s="3">
        <v>-1.2781576368702651E-2</v>
      </c>
      <c r="AE136" s="3">
        <v>1.849744630242673E-2</v>
      </c>
      <c r="AF136" s="3">
        <v>8.9832175714457032E-3</v>
      </c>
      <c r="AG136" s="3">
        <v>1.0723860589812485E-2</v>
      </c>
      <c r="AH136" s="3">
        <v>-1.4285652242071192E-2</v>
      </c>
      <c r="AI136" s="3">
        <v>-1.7482715944428698E-2</v>
      </c>
      <c r="AJ136" s="3">
        <v>6.2361216954942818E-3</v>
      </c>
      <c r="AK136" s="3">
        <v>5.5248618784530308E-2</v>
      </c>
      <c r="AL136" s="3">
        <v>1.4416240785130067E-3</v>
      </c>
      <c r="AM136" s="3">
        <v>4.3903143183574508E-3</v>
      </c>
      <c r="AN136" s="3">
        <v>2.1490888565325862E-2</v>
      </c>
    </row>
    <row r="137" spans="1:40" x14ac:dyDescent="0.3">
      <c r="A137" s="101">
        <v>44509</v>
      </c>
      <c r="B137" s="3">
        <v>2.7694390229099985E-2</v>
      </c>
      <c r="C137" s="3">
        <v>1.3493551027625682E-2</v>
      </c>
      <c r="D137" s="3">
        <v>5.5094697776153258E-3</v>
      </c>
      <c r="E137" s="3">
        <v>-2.0733968132269055E-2</v>
      </c>
      <c r="F137" s="3">
        <v>-6.4487923511051979E-3</v>
      </c>
      <c r="G137" s="3">
        <v>-5.140257125426026E-2</v>
      </c>
      <c r="H137" s="3">
        <v>-6.0844863923768604E-4</v>
      </c>
      <c r="I137" s="3">
        <v>1.1527276613659895E-2</v>
      </c>
      <c r="J137" s="3">
        <v>-5.9225078553718832E-3</v>
      </c>
      <c r="K137" s="3">
        <v>-9.9009900990098664E-3</v>
      </c>
      <c r="L137" s="3">
        <v>8.5601821016400102E-3</v>
      </c>
      <c r="M137" s="3">
        <v>1.525895235276709</v>
      </c>
      <c r="N137" s="3">
        <v>1.2388331899759466E-2</v>
      </c>
      <c r="O137" s="3">
        <v>-1.1830688636963696E-2</v>
      </c>
      <c r="P137" s="3">
        <v>9.4577553593948385E-3</v>
      </c>
      <c r="Q137" s="3">
        <v>3.8144261385478523E-2</v>
      </c>
      <c r="R137" s="3">
        <v>-2.6614706233439991E-2</v>
      </c>
      <c r="S137" s="3">
        <v>0</v>
      </c>
      <c r="T137" s="3">
        <v>-1.1246426646996051E-2</v>
      </c>
      <c r="U137" s="3">
        <v>2.0450851538100646E-2</v>
      </c>
      <c r="V137" s="3">
        <v>8.4235583728841101E-3</v>
      </c>
      <c r="W137" s="3">
        <v>-1.704752130291811E-2</v>
      </c>
      <c r="X137" s="3">
        <v>-8.1437125748503817E-3</v>
      </c>
      <c r="Y137" s="3">
        <v>5.8983323429655215E-3</v>
      </c>
      <c r="Z137" s="3">
        <v>1.5624999999999993E-2</v>
      </c>
      <c r="AA137" s="3">
        <v>2.048779499617543E-2</v>
      </c>
      <c r="AB137" s="3">
        <v>4.8263333494867021E-3</v>
      </c>
      <c r="AC137" s="3">
        <v>8.0554520563947546E-3</v>
      </c>
      <c r="AD137" s="3">
        <v>-2.0443090340819061E-2</v>
      </c>
      <c r="AE137" s="3">
        <v>-9.7820686886433122E-3</v>
      </c>
      <c r="AF137" s="3">
        <v>7.1796146476769372E-3</v>
      </c>
      <c r="AG137" s="3">
        <v>-1.3793103448275943E-2</v>
      </c>
      <c r="AH137" s="3">
        <v>1.4906853539710257E-2</v>
      </c>
      <c r="AI137" s="3">
        <v>-5.1974661100521336E-3</v>
      </c>
      <c r="AJ137" s="3">
        <v>-9.5174539416255713E-3</v>
      </c>
      <c r="AK137" s="3">
        <v>3.1413612565445052E-2</v>
      </c>
      <c r="AL137" s="3">
        <v>1.2283826774397034E-2</v>
      </c>
      <c r="AM137" s="3">
        <v>1.3113371134020608E-2</v>
      </c>
      <c r="AN137" s="3">
        <v>3.2244441682391708E-3</v>
      </c>
    </row>
    <row r="138" spans="1:40" x14ac:dyDescent="0.3">
      <c r="A138" s="101">
        <v>44510</v>
      </c>
      <c r="B138" s="3">
        <v>-2.646268032779182E-2</v>
      </c>
      <c r="C138" s="3">
        <v>-2.5175499695354629E-2</v>
      </c>
      <c r="D138" s="3">
        <v>-2.7397802213721457E-3</v>
      </c>
      <c r="E138" s="3">
        <v>5.1843603950825498E-3</v>
      </c>
      <c r="F138" s="3">
        <v>-8.2215287458873229E-3</v>
      </c>
      <c r="G138" s="3">
        <v>-3.2996264328698038E-2</v>
      </c>
      <c r="H138" s="3">
        <v>7.8486314407382591E-4</v>
      </c>
      <c r="I138" s="3">
        <v>-8.5469491747344629E-3</v>
      </c>
      <c r="J138" s="3">
        <v>-2.0334129109892168E-2</v>
      </c>
      <c r="K138" s="3">
        <v>0</v>
      </c>
      <c r="L138" s="3">
        <v>-2.0733968132269055E-2</v>
      </c>
      <c r="M138" s="3">
        <v>-0.49677797305213828</v>
      </c>
      <c r="N138" s="3">
        <v>-2.0064948267792699E-4</v>
      </c>
      <c r="O138" s="3">
        <v>-3.0665689605094935E-2</v>
      </c>
      <c r="P138" s="3">
        <v>-3.6227357901311791E-2</v>
      </c>
      <c r="Q138" s="3">
        <v>8.9375017040235483E-3</v>
      </c>
      <c r="R138" s="3">
        <v>6.0954226092851567E-3</v>
      </c>
      <c r="S138" s="3">
        <v>-9.263204915451094E-3</v>
      </c>
      <c r="T138" s="3">
        <v>-1.2637695954894283E-3</v>
      </c>
      <c r="U138" s="3">
        <v>-6.6045104024161369E-3</v>
      </c>
      <c r="V138" s="3">
        <v>2.2673147048694466E-2</v>
      </c>
      <c r="W138" s="3">
        <v>4.305016831597684E-3</v>
      </c>
      <c r="X138" s="3">
        <v>9.4179908234726661E-3</v>
      </c>
      <c r="Y138" s="3">
        <v>9.4158659820936311E-3</v>
      </c>
      <c r="Z138" s="3">
        <v>-6.3348416289593012E-3</v>
      </c>
      <c r="AA138" s="3">
        <v>-3.1002437315715642E-2</v>
      </c>
      <c r="AB138" s="3">
        <v>2.1099560042617725E-2</v>
      </c>
      <c r="AC138" s="3">
        <v>-3.0236384797064884E-3</v>
      </c>
      <c r="AD138" s="3">
        <v>-3.5825938332593101E-2</v>
      </c>
      <c r="AE138" s="3">
        <v>6.6209091540772702E-2</v>
      </c>
      <c r="AF138" s="3">
        <v>5.9880698669267851E-3</v>
      </c>
      <c r="AG138" s="3">
        <v>-4.626143087681546E-2</v>
      </c>
      <c r="AH138" s="3">
        <v>1.9991710217312324E-2</v>
      </c>
      <c r="AI138" s="3">
        <v>-1.5919839770124688E-2</v>
      </c>
      <c r="AJ138" s="3">
        <v>3.3518818259567849E-3</v>
      </c>
      <c r="AK138" s="3">
        <v>-7.1065989847715685E-2</v>
      </c>
      <c r="AL138" s="3">
        <v>-1.8096208433015973E-2</v>
      </c>
      <c r="AM138" s="3">
        <v>-1.3431557720354039E-3</v>
      </c>
      <c r="AN138" s="3">
        <v>-8.5437231536390039E-3</v>
      </c>
    </row>
    <row r="139" spans="1:40" x14ac:dyDescent="0.3">
      <c r="A139" s="101">
        <v>44511</v>
      </c>
      <c r="B139" s="3">
        <v>2.1446445193085768E-2</v>
      </c>
      <c r="C139" s="3">
        <v>-1.8127605305491033E-2</v>
      </c>
      <c r="D139" s="3">
        <v>-1.0988949589398628E-2</v>
      </c>
      <c r="E139" s="3">
        <v>-1.3937553943257307E-2</v>
      </c>
      <c r="F139" s="3">
        <v>6.1081691009704127E-3</v>
      </c>
      <c r="G139" s="3">
        <v>2.0456582443853288E-2</v>
      </c>
      <c r="H139" s="3">
        <v>-4.1594441370161918E-3</v>
      </c>
      <c r="I139" s="3">
        <v>-4.5976964121434271E-3</v>
      </c>
      <c r="J139" s="3">
        <v>2.5515687357470156E-2</v>
      </c>
      <c r="K139" s="3">
        <v>-6.0000000000000496E-3</v>
      </c>
      <c r="L139" s="3">
        <v>5.1843603950825498E-3</v>
      </c>
      <c r="M139" s="3">
        <v>9.8486612339930155E-2</v>
      </c>
      <c r="N139" s="3">
        <v>-1.1436628695595419E-2</v>
      </c>
      <c r="O139" s="3">
        <v>1.0401050160985609E-2</v>
      </c>
      <c r="P139" s="3">
        <v>-1.9442644199610733E-3</v>
      </c>
      <c r="Q139" s="3">
        <v>8.8583293364112754E-3</v>
      </c>
      <c r="R139" s="3">
        <v>2.1204718675658735E-2</v>
      </c>
      <c r="S139" s="3">
        <v>-7.1368773708402437E-3</v>
      </c>
      <c r="T139" s="3">
        <v>-6.6435506650636871E-3</v>
      </c>
      <c r="U139" s="3">
        <v>-9.169308215807502E-4</v>
      </c>
      <c r="V139" s="3">
        <v>-2.3337287032134533E-2</v>
      </c>
      <c r="W139" s="3">
        <v>-3.9804232260036649E-3</v>
      </c>
      <c r="X139" s="3">
        <v>6.9378231324838963E-3</v>
      </c>
      <c r="Y139" s="3">
        <v>2.9994945148829437E-2</v>
      </c>
      <c r="Z139" s="3">
        <v>1.0018214936247671E-2</v>
      </c>
      <c r="AA139" s="3">
        <v>3.0232563904321819E-2</v>
      </c>
      <c r="AB139" s="3">
        <v>3.0827447858115215E-2</v>
      </c>
      <c r="AC139" s="3">
        <v>3.458853653973868E-2</v>
      </c>
      <c r="AD139" s="3">
        <v>2.3088015238732034E-2</v>
      </c>
      <c r="AE139" s="3">
        <v>-2.6773906777200075E-2</v>
      </c>
      <c r="AF139" s="3">
        <v>3.0612368462851435E-2</v>
      </c>
      <c r="AG139" s="3">
        <v>2.0868584320361025E-2</v>
      </c>
      <c r="AH139" s="3">
        <v>0</v>
      </c>
      <c r="AI139" s="3">
        <v>3.0480884752857495E-2</v>
      </c>
      <c r="AJ139" s="3">
        <v>5.4937752736567789E-3</v>
      </c>
      <c r="AK139" s="3">
        <v>5.4644808743169442E-3</v>
      </c>
      <c r="AL139" s="3">
        <v>2.1218305216500897E-2</v>
      </c>
      <c r="AM139" s="3">
        <v>2.8286070227363274E-2</v>
      </c>
      <c r="AN139" s="3">
        <v>1.6426592561875095E-2</v>
      </c>
    </row>
    <row r="140" spans="1:40" x14ac:dyDescent="0.3">
      <c r="A140" s="101">
        <v>44512</v>
      </c>
      <c r="B140" s="3">
        <v>-2.3193384973024981E-2</v>
      </c>
      <c r="C140" s="3">
        <v>6.5756059909584386E-3</v>
      </c>
      <c r="D140" s="3">
        <v>-3.3333145018459479E-2</v>
      </c>
      <c r="E140" s="3">
        <v>-1.4693540388165692E-2</v>
      </c>
      <c r="F140" s="3">
        <v>-2.6452698175651258E-2</v>
      </c>
      <c r="G140" s="3">
        <v>1.1636002455607825E-2</v>
      </c>
      <c r="H140" s="3">
        <v>3.9008162273955669E-3</v>
      </c>
      <c r="I140" s="3">
        <v>4.0415144993998101E-3</v>
      </c>
      <c r="J140" s="3">
        <v>-1.4954152925626036E-2</v>
      </c>
      <c r="K140" s="3">
        <v>-2.0120724346076031E-3</v>
      </c>
      <c r="L140" s="3">
        <v>-1.3937553943257307E-2</v>
      </c>
      <c r="M140" s="3">
        <v>0.5998304366256888</v>
      </c>
      <c r="N140" s="3">
        <v>-2.6080745317387903E-2</v>
      </c>
      <c r="O140" s="3">
        <v>-2.2017461916929607E-2</v>
      </c>
      <c r="P140" s="3">
        <v>-1.4935064935064963E-2</v>
      </c>
      <c r="Q140" s="3">
        <v>6.4390112196396093E-2</v>
      </c>
      <c r="R140" s="3">
        <v>-4.9919449544083068E-2</v>
      </c>
      <c r="S140" s="3">
        <v>1.2915186332551528E-2</v>
      </c>
      <c r="T140" s="3">
        <v>5.4140531830117666E-3</v>
      </c>
      <c r="U140" s="3">
        <v>-1.5144564313299365E-2</v>
      </c>
      <c r="V140" s="3">
        <v>-3.5841882981482889E-3</v>
      </c>
      <c r="W140" s="3">
        <v>-2.2748111152047341E-2</v>
      </c>
      <c r="X140" s="3">
        <v>-2.1382751247327964E-3</v>
      </c>
      <c r="Y140" s="3">
        <v>-5.4202821720284488E-5</v>
      </c>
      <c r="Z140" s="3">
        <v>2.2542831379621282E-2</v>
      </c>
      <c r="AA140" s="3">
        <v>-2.7258998843207431E-2</v>
      </c>
      <c r="AB140" s="3">
        <v>2.9335833814542844E-3</v>
      </c>
      <c r="AC140" s="3">
        <v>3.3851022181861853E-3</v>
      </c>
      <c r="AD140" s="3">
        <v>2.7150822346737827E-2</v>
      </c>
      <c r="AE140" s="3">
        <v>-1.5330244436569197E-2</v>
      </c>
      <c r="AF140" s="3">
        <v>2.7516305282166353E-4</v>
      </c>
      <c r="AG140" s="3">
        <v>3.4254088397790053E-2</v>
      </c>
      <c r="AH140" s="3">
        <v>2.2900047030944712E-2</v>
      </c>
      <c r="AI140" s="3">
        <v>-1.327442957264393E-2</v>
      </c>
      <c r="AJ140" s="3">
        <v>1.0334267698817272E-3</v>
      </c>
      <c r="AK140" s="3">
        <v>1.630434782608697E-2</v>
      </c>
      <c r="AL140" s="3">
        <v>1.6600856644245026E-2</v>
      </c>
      <c r="AM140" s="3">
        <v>-2.3781799336405987E-3</v>
      </c>
      <c r="AN140" s="3">
        <v>-5.1396239241213526E-3</v>
      </c>
    </row>
    <row r="141" spans="1:40" x14ac:dyDescent="0.3">
      <c r="A141" s="101">
        <v>44516</v>
      </c>
      <c r="B141" s="3">
        <v>-9.4976933373665928E-3</v>
      </c>
      <c r="C141" s="3">
        <v>2.2613075102129589E-2</v>
      </c>
      <c r="D141" s="3">
        <v>3.5673031545819626E-2</v>
      </c>
      <c r="E141" s="3">
        <v>-5.8759130267183254E-3</v>
      </c>
      <c r="F141" s="3">
        <v>-8.9092637753646173E-4</v>
      </c>
      <c r="G141" s="3">
        <v>-2.49414521952597E-2</v>
      </c>
      <c r="H141" s="3">
        <v>-5.6488683934633483E-3</v>
      </c>
      <c r="I141" s="3">
        <v>-4.0252464076795166E-3</v>
      </c>
      <c r="J141" s="3">
        <v>4.4495792778921411E-3</v>
      </c>
      <c r="K141" s="3">
        <v>-1.2096774193548309E-2</v>
      </c>
      <c r="L141" s="3">
        <v>-1.4693540388165692E-2</v>
      </c>
      <c r="M141" s="3">
        <v>-2.6099629040805511E-2</v>
      </c>
      <c r="N141" s="3">
        <v>1.1982925061449309E-2</v>
      </c>
      <c r="O141" s="3">
        <v>-8.0402308830493461E-4</v>
      </c>
      <c r="P141" s="3">
        <v>-1.7798286090968989E-2</v>
      </c>
      <c r="Q141" s="3">
        <v>-3.6663615241283609E-3</v>
      </c>
      <c r="R141" s="3">
        <v>-4.0142687899736601E-2</v>
      </c>
      <c r="S141" s="3">
        <v>0</v>
      </c>
      <c r="T141" s="3">
        <v>-8.2356592022827142E-3</v>
      </c>
      <c r="U141" s="3">
        <v>-1.8406396567357073E-2</v>
      </c>
      <c r="V141" s="3">
        <v>-1.1990440926056689E-2</v>
      </c>
      <c r="W141" s="3">
        <v>-6.6059654811537758E-3</v>
      </c>
      <c r="X141" s="3">
        <v>-1.0714309523809532E-2</v>
      </c>
      <c r="Y141" s="3">
        <v>1.6486761844388357E-2</v>
      </c>
      <c r="Z141" s="3">
        <v>-1.5873015873015848E-2</v>
      </c>
      <c r="AA141" s="3">
        <v>4.3177071921002189E-2</v>
      </c>
      <c r="AB141" s="3">
        <v>-1.1374827025138056E-3</v>
      </c>
      <c r="AC141" s="3">
        <v>-1.9720308906940039E-2</v>
      </c>
      <c r="AD141" s="3">
        <v>7.5524613483417815E-3</v>
      </c>
      <c r="AE141" s="3">
        <v>2.7618879462003424E-2</v>
      </c>
      <c r="AF141" s="3">
        <v>6.0487914998216602E-3</v>
      </c>
      <c r="AG141" s="3">
        <v>1.0149626610556909E-2</v>
      </c>
      <c r="AH141" s="3">
        <v>3.0892669548129362E-2</v>
      </c>
      <c r="AI141" s="3">
        <v>2.5800255575637431E-2</v>
      </c>
      <c r="AJ141" s="3">
        <v>1.0178587092524312E-2</v>
      </c>
      <c r="AK141" s="3">
        <v>-1.6042780748663114E-2</v>
      </c>
      <c r="AL141" s="3">
        <v>-6.4551000460091965E-4</v>
      </c>
      <c r="AM141" s="3">
        <v>-1.1641336449190057E-2</v>
      </c>
      <c r="AN141" s="3">
        <v>-5.2441900683832749E-3</v>
      </c>
    </row>
    <row r="142" spans="1:40" x14ac:dyDescent="0.3">
      <c r="A142" s="101">
        <v>44517</v>
      </c>
      <c r="B142" s="3">
        <v>1.1859737387623448E-2</v>
      </c>
      <c r="C142" s="3">
        <v>-5.5773954371764134E-2</v>
      </c>
      <c r="D142" s="3">
        <v>1.9444485199100345E-2</v>
      </c>
      <c r="E142" s="3">
        <v>-8.559837207917756E-4</v>
      </c>
      <c r="F142" s="3">
        <v>1.9616629346700699E-2</v>
      </c>
      <c r="G142" s="3">
        <v>-1.2624184289134512E-2</v>
      </c>
      <c r="H142" s="3">
        <v>2.8570691263267475E-3</v>
      </c>
      <c r="I142" s="3">
        <v>8.660447362596288E-3</v>
      </c>
      <c r="J142" s="3">
        <v>5.211738811293277E-3</v>
      </c>
      <c r="K142" s="3">
        <v>4.0816326530611373E-3</v>
      </c>
      <c r="L142" s="3">
        <v>-5.8759130267183254E-3</v>
      </c>
      <c r="M142" s="3">
        <v>-0.37886001904502786</v>
      </c>
      <c r="N142" s="3">
        <v>2.9859953552832008E-3</v>
      </c>
      <c r="O142" s="3">
        <v>4.5355063900711125E-3</v>
      </c>
      <c r="P142" s="3">
        <v>-5.3691275167785284E-3</v>
      </c>
      <c r="Q142" s="3">
        <v>-1.4719293997107523E-2</v>
      </c>
      <c r="R142" s="3">
        <v>-3.8104237858140027E-3</v>
      </c>
      <c r="S142" s="3">
        <v>5.8287796530442908E-2</v>
      </c>
      <c r="T142" s="3">
        <v>0</v>
      </c>
      <c r="U142" s="3">
        <v>9.4944331962383607E-3</v>
      </c>
      <c r="V142" s="3">
        <v>-2.1844721528343634E-2</v>
      </c>
      <c r="W142" s="3">
        <v>7.2831525817064167E-3</v>
      </c>
      <c r="X142" s="3">
        <v>8.9049099616103477E-3</v>
      </c>
      <c r="Y142" s="3">
        <v>-6.5090222779873117E-3</v>
      </c>
      <c r="Z142" s="3">
        <v>-2.3297491039426504E-2</v>
      </c>
      <c r="AA142" s="3">
        <v>9.5385317204949426E-3</v>
      </c>
      <c r="AB142" s="3">
        <v>-5.6125966903373629E-3</v>
      </c>
      <c r="AC142" s="3">
        <v>-7.628149562643587E-3</v>
      </c>
      <c r="AD142" s="3">
        <v>2.8279314649293705E-2</v>
      </c>
      <c r="AE142" s="3">
        <v>2.5181594081322763E-2</v>
      </c>
      <c r="AF142" s="3">
        <v>9.8387430348488101E-3</v>
      </c>
      <c r="AG142" s="3">
        <v>3.014278159703862E-2</v>
      </c>
      <c r="AH142" s="3">
        <v>-1.2423099207296126E-2</v>
      </c>
      <c r="AI142" s="3">
        <v>2.215577408453131E-3</v>
      </c>
      <c r="AJ142" s="3">
        <v>3.694842978064702E-3</v>
      </c>
      <c r="AK142" s="3">
        <v>1.630434782608697E-2</v>
      </c>
      <c r="AL142" s="3">
        <v>6.6781257993275389E-4</v>
      </c>
      <c r="AM142" s="3">
        <v>1.5878939891196969E-3</v>
      </c>
      <c r="AN142" s="3">
        <v>-7.5783262770510685E-3</v>
      </c>
    </row>
    <row r="143" spans="1:40" x14ac:dyDescent="0.3">
      <c r="A143" s="101">
        <v>44518</v>
      </c>
      <c r="B143" s="3">
        <v>-4.4887884490989348E-3</v>
      </c>
      <c r="C143" s="3">
        <v>5.4905047281890836E-2</v>
      </c>
      <c r="D143" s="3">
        <v>-4.9046264211936468E-2</v>
      </c>
      <c r="E143" s="3">
        <v>-2.1378283104536346E-2</v>
      </c>
      <c r="F143" s="3">
        <v>1.7490091131286332E-2</v>
      </c>
      <c r="G143" s="3">
        <v>-2.6828714816659101E-3</v>
      </c>
      <c r="H143" s="3">
        <v>2.5474944124221056E-3</v>
      </c>
      <c r="I143" s="3">
        <v>1.1449211978254556E-3</v>
      </c>
      <c r="J143" s="3">
        <v>-2.7219315433586765E-3</v>
      </c>
      <c r="K143" s="3">
        <v>-5.5894308943089506E-2</v>
      </c>
      <c r="L143" s="3">
        <v>-8.559837207917756E-4</v>
      </c>
      <c r="M143" s="3">
        <v>-0.18966272448532631</v>
      </c>
      <c r="N143" s="3">
        <v>-3.387653839941193E-3</v>
      </c>
      <c r="O143" s="3">
        <v>2.9120078416917163E-4</v>
      </c>
      <c r="P143" s="3">
        <v>-1.0796221322537122E-2</v>
      </c>
      <c r="Q143" s="3">
        <v>-1.2138305855192265E-2</v>
      </c>
      <c r="R143" s="3">
        <v>0</v>
      </c>
      <c r="S143" s="3">
        <v>5.3355914703239428E-3</v>
      </c>
      <c r="T143" s="3">
        <v>6.3876288882563925E-4</v>
      </c>
      <c r="U143" s="3">
        <v>1.7164281934103905E-2</v>
      </c>
      <c r="V143" s="3">
        <v>-1.7369670599185604E-2</v>
      </c>
      <c r="W143" s="3">
        <v>1.7132958213682943E-2</v>
      </c>
      <c r="X143" s="3">
        <v>-1.3597328893002339E-2</v>
      </c>
      <c r="Y143" s="3">
        <v>-8.3777076491920108E-3</v>
      </c>
      <c r="Z143" s="3">
        <v>3.4862385321100822E-2</v>
      </c>
      <c r="AA143" s="3">
        <v>7.1314130104161197E-2</v>
      </c>
      <c r="AB143" s="3">
        <v>1.2270019890225517E-2</v>
      </c>
      <c r="AC143" s="3">
        <v>2.1022433849591689E-2</v>
      </c>
      <c r="AD143" s="3">
        <v>-1.2259699793186434E-2</v>
      </c>
      <c r="AE143" s="3">
        <v>1.2146588633737312E-2</v>
      </c>
      <c r="AF143" s="3">
        <v>-3.5183880350390649E-3</v>
      </c>
      <c r="AG143" s="3">
        <v>-3.1314117043121252E-2</v>
      </c>
      <c r="AH143" s="3">
        <v>8.258157807542606E-3</v>
      </c>
      <c r="AI143" s="3">
        <v>1.3862398290474216E-2</v>
      </c>
      <c r="AJ143" s="3">
        <v>1.1371083194787839E-2</v>
      </c>
      <c r="AK143" s="3">
        <v>-2.1390374331550818E-2</v>
      </c>
      <c r="AL143" s="3">
        <v>-4.6553756783214266E-3</v>
      </c>
      <c r="AM143" s="3">
        <v>3.5058560073281946E-2</v>
      </c>
      <c r="AN143" s="3">
        <v>-1.4482100240716337E-3</v>
      </c>
    </row>
    <row r="144" spans="1:40" x14ac:dyDescent="0.3">
      <c r="A144" s="101">
        <v>44519</v>
      </c>
      <c r="B144" s="3">
        <v>-2.580161271864851E-2</v>
      </c>
      <c r="C144" s="3">
        <v>-1.1100140011731706E-2</v>
      </c>
      <c r="D144" s="3">
        <v>1.719205296471318E-2</v>
      </c>
      <c r="E144" s="3">
        <v>-3.3059462919170599E-2</v>
      </c>
      <c r="F144" s="3">
        <v>-9.478612006040707E-3</v>
      </c>
      <c r="G144" s="3">
        <v>-1.2861998018376642E-2</v>
      </c>
      <c r="H144" s="3">
        <v>2.3026858557154061E-3</v>
      </c>
      <c r="I144" s="3">
        <v>2.058313895329163E-2</v>
      </c>
      <c r="J144" s="3">
        <v>-3.8985426281139827E-4</v>
      </c>
      <c r="K144" s="3">
        <v>0</v>
      </c>
      <c r="L144" s="3">
        <v>-2.1378283104536346E-2</v>
      </c>
      <c r="M144" s="3">
        <v>1.578918918918919</v>
      </c>
      <c r="N144" s="3">
        <v>-8.9617628589171109E-3</v>
      </c>
      <c r="O144" s="3">
        <v>-8.0081652794420817E-3</v>
      </c>
      <c r="P144" s="3">
        <v>2.7285129604365646E-2</v>
      </c>
      <c r="Q144" s="3">
        <v>4.1030669444706874E-2</v>
      </c>
      <c r="R144" s="3">
        <v>-1.7725224597733283E-3</v>
      </c>
      <c r="S144" s="3">
        <v>-7.0193410415064625E-3</v>
      </c>
      <c r="T144" s="3">
        <v>-7.0220046019809929E-3</v>
      </c>
      <c r="U144" s="3">
        <v>-3.2361684662717584E-3</v>
      </c>
      <c r="V144" s="3">
        <v>-1.7676817389208413E-2</v>
      </c>
      <c r="W144" s="3">
        <v>-3.3997869061604125E-2</v>
      </c>
      <c r="X144" s="3">
        <v>6.0459495064546318E-3</v>
      </c>
      <c r="Y144" s="3">
        <v>7.0945737479958864E-3</v>
      </c>
      <c r="Z144" s="3">
        <v>-1.8617021276595664E-2</v>
      </c>
      <c r="AA144" s="3">
        <v>1.2652697388301281E-2</v>
      </c>
      <c r="AB144" s="3">
        <v>5.0908483988680725E-3</v>
      </c>
      <c r="AC144" s="3">
        <v>-7.6335636222296778E-3</v>
      </c>
      <c r="AD144" s="3">
        <v>-4.3609767544946741E-3</v>
      </c>
      <c r="AE144" s="3">
        <v>2.0501346004684267E-2</v>
      </c>
      <c r="AF144" s="3">
        <v>-4.6170057118879978E-3</v>
      </c>
      <c r="AG144" s="3">
        <v>1.4308319326533215E-2</v>
      </c>
      <c r="AH144" s="3">
        <v>-9.9999324413664464E-3</v>
      </c>
      <c r="AI144" s="3">
        <v>2.4751971912239218E-3</v>
      </c>
      <c r="AJ144" s="3">
        <v>2.66635105509247E-3</v>
      </c>
      <c r="AK144" s="3">
        <v>-4.91803278688525E-2</v>
      </c>
      <c r="AL144" s="3">
        <v>-5.1114604734487203E-4</v>
      </c>
      <c r="AM144" s="3">
        <v>-6.0491989308876027E-3</v>
      </c>
      <c r="AN144" s="3">
        <v>6.108347287207592E-3</v>
      </c>
    </row>
    <row r="145" spans="1:40" x14ac:dyDescent="0.3">
      <c r="A145" s="101">
        <v>44522</v>
      </c>
      <c r="B145" s="3">
        <v>-3.8055945955781663E-2</v>
      </c>
      <c r="C145" s="3">
        <v>1.3719060657206397E-2</v>
      </c>
      <c r="D145" s="3">
        <v>-1.4084615849012549E-2</v>
      </c>
      <c r="E145" s="3">
        <v>1.7763180123950607E-2</v>
      </c>
      <c r="F145" s="3">
        <v>8.6994245807887824E-3</v>
      </c>
      <c r="G145" s="3">
        <v>-2.299374009809479E-3</v>
      </c>
      <c r="H145" s="3">
        <v>-3.1973309237505972E-3</v>
      </c>
      <c r="I145" s="3">
        <v>3.6974852421648802E-2</v>
      </c>
      <c r="J145" s="3">
        <v>-2.6006588892818214E-3</v>
      </c>
      <c r="K145" s="3">
        <v>1.7222820236813794E-2</v>
      </c>
      <c r="L145" s="3">
        <v>-3.3059462919170599E-2</v>
      </c>
      <c r="M145" s="3">
        <v>-0.17732131628589395</v>
      </c>
      <c r="N145" s="3">
        <v>-1.3304321539326975E-2</v>
      </c>
      <c r="O145" s="3">
        <v>3.1557169239445565E-3</v>
      </c>
      <c r="P145" s="3">
        <v>-2.6560424966800083E-3</v>
      </c>
      <c r="Q145" s="3">
        <v>-5.1329078350269751E-2</v>
      </c>
      <c r="R145" s="3">
        <v>7.9439007572668589E-3</v>
      </c>
      <c r="S145" s="3">
        <v>1.1720575504859009E-2</v>
      </c>
      <c r="T145" s="3">
        <v>3.567984275369257E-2</v>
      </c>
      <c r="U145" s="3">
        <v>-9.5083453868444415E-3</v>
      </c>
      <c r="V145" s="3">
        <v>4.3701814490043234E-2</v>
      </c>
      <c r="W145" s="3">
        <v>-3.6794425912869706E-3</v>
      </c>
      <c r="X145" s="3">
        <v>9.6154331545881475E-3</v>
      </c>
      <c r="Y145" s="3">
        <v>-4.678484444238469E-3</v>
      </c>
      <c r="Z145" s="3">
        <v>-3.0713640469738016E-2</v>
      </c>
      <c r="AA145" s="3">
        <v>-6.9859041312933842E-2</v>
      </c>
      <c r="AB145" s="3">
        <v>-2.0903682619614627E-2</v>
      </c>
      <c r="AC145" s="3">
        <v>-1.9336560042411327E-2</v>
      </c>
      <c r="AD145" s="3">
        <v>9.7708940805458638E-3</v>
      </c>
      <c r="AE145" s="3">
        <v>3.266782032686002E-4</v>
      </c>
      <c r="AF145" s="3">
        <v>-5.7298911580442955E-3</v>
      </c>
      <c r="AG145" s="3">
        <v>-4.1797285360358847E-3</v>
      </c>
      <c r="AH145" s="3">
        <v>1.5873060748075846E-2</v>
      </c>
      <c r="AI145" s="3">
        <v>7.5838251050888055E-3</v>
      </c>
      <c r="AJ145" s="3">
        <v>-2.3718399667186909E-3</v>
      </c>
      <c r="AK145" s="3">
        <v>-5.7471264367816143E-3</v>
      </c>
      <c r="AL145" s="3">
        <v>-1.8927178662718744E-2</v>
      </c>
      <c r="AM145" s="3">
        <v>-3.7178574501270899E-2</v>
      </c>
      <c r="AN145" s="3">
        <v>-2.3003848902632743E-2</v>
      </c>
    </row>
    <row r="146" spans="1:40" x14ac:dyDescent="0.3">
      <c r="A146" s="101">
        <v>44523</v>
      </c>
      <c r="B146" s="3">
        <v>4.4907721392301238E-2</v>
      </c>
      <c r="C146" s="3">
        <v>1.6978412816230602E-2</v>
      </c>
      <c r="D146" s="3">
        <v>2.5714255035052879E-2</v>
      </c>
      <c r="E146" s="3">
        <v>-4.5751589405806795E-3</v>
      </c>
      <c r="F146" s="3">
        <v>4.7434778570230873E-3</v>
      </c>
      <c r="G146" s="3">
        <v>-1.7924928666510356E-3</v>
      </c>
      <c r="H146" s="3">
        <v>-1.4019429020218647E-3</v>
      </c>
      <c r="I146" s="3">
        <v>2.3230695474649777E-2</v>
      </c>
      <c r="J146" s="3">
        <v>-1.1471578935909077E-2</v>
      </c>
      <c r="K146" s="3">
        <v>-1.5873015873015723E-2</v>
      </c>
      <c r="L146" s="3">
        <v>1.7763180123950607E-2</v>
      </c>
      <c r="M146" s="3">
        <v>0.18828025477707006</v>
      </c>
      <c r="N146" s="3">
        <v>5.7938108891744684E-3</v>
      </c>
      <c r="O146" s="3">
        <v>-1.0242203781615698E-2</v>
      </c>
      <c r="P146" s="3">
        <v>-1.3315579227696358E-2</v>
      </c>
      <c r="Q146" s="3">
        <v>7.7294023995379234E-3</v>
      </c>
      <c r="R146" s="3">
        <v>-2.3180261267236194E-3</v>
      </c>
      <c r="S146" s="3">
        <v>1.7385944670319897E-2</v>
      </c>
      <c r="T146" s="3">
        <v>-5.8970189908827565E-3</v>
      </c>
      <c r="U146" s="3">
        <v>3.5354744153354441E-2</v>
      </c>
      <c r="V146" s="3">
        <v>4.9262279178047081E-3</v>
      </c>
      <c r="W146" s="3">
        <v>7.7071449064951801E-3</v>
      </c>
      <c r="X146" s="3">
        <v>1.1904761904761904E-2</v>
      </c>
      <c r="Y146" s="3">
        <v>-1.6207250877030752E-4</v>
      </c>
      <c r="Z146" s="3">
        <v>1.8639328984156173E-3</v>
      </c>
      <c r="AA146" s="3">
        <v>3.7370958757086827E-2</v>
      </c>
      <c r="AB146" s="3">
        <v>1.1988703218952909E-2</v>
      </c>
      <c r="AC146" s="3">
        <v>-2.8785908267785162E-3</v>
      </c>
      <c r="AD146" s="3">
        <v>-1.36802837417379E-2</v>
      </c>
      <c r="AE146" s="3">
        <v>5.1464515017765479E-2</v>
      </c>
      <c r="AF146" s="3">
        <v>-1.5642304532788219E-2</v>
      </c>
      <c r="AG146" s="3">
        <v>3.6201523410363173E-2</v>
      </c>
      <c r="AH146" s="3">
        <v>-1.0511412081804597E-2</v>
      </c>
      <c r="AI146" s="3">
        <v>2.0071229711723301E-2</v>
      </c>
      <c r="AJ146" s="3">
        <v>-8.7182445449675884E-3</v>
      </c>
      <c r="AK146" s="3">
        <v>5.7803468208092535E-3</v>
      </c>
      <c r="AL146" s="3">
        <v>-4.9323201201364976E-3</v>
      </c>
      <c r="AM146" s="3">
        <v>1.5174209702096271E-2</v>
      </c>
      <c r="AN146" s="3">
        <v>-8.7310092061268052E-4</v>
      </c>
    </row>
    <row r="147" spans="1:40" x14ac:dyDescent="0.3">
      <c r="A147" s="101">
        <v>44524</v>
      </c>
      <c r="B147" s="3">
        <v>1.5860846505790307E-2</v>
      </c>
      <c r="C147" s="3">
        <v>2.4679320426555018E-2</v>
      </c>
      <c r="D147" s="3">
        <v>8.3564419297312183E-3</v>
      </c>
      <c r="E147" s="3">
        <v>1.0724366284610657E-2</v>
      </c>
      <c r="F147" s="3">
        <v>4.7210328960806146E-2</v>
      </c>
      <c r="G147" s="3">
        <v>2.3301539284713173E-2</v>
      </c>
      <c r="H147" s="3">
        <v>-3.7119115609505267E-4</v>
      </c>
      <c r="I147" s="3">
        <v>3.1151002853752059E-2</v>
      </c>
      <c r="J147" s="3">
        <v>-8.4399535174844251E-3</v>
      </c>
      <c r="K147" s="3">
        <v>0</v>
      </c>
      <c r="L147" s="3">
        <v>-4.5751589405806795E-3</v>
      </c>
      <c r="M147" s="3">
        <v>-7.4935677530017147E-2</v>
      </c>
      <c r="N147" s="3">
        <v>7.3316744425565305E-4</v>
      </c>
      <c r="O147" s="3">
        <v>1.3157058860628817E-2</v>
      </c>
      <c r="P147" s="3">
        <v>2.1592442645074244E-2</v>
      </c>
      <c r="Q147" s="3">
        <v>2.3969358468821519E-2</v>
      </c>
      <c r="R147" s="3">
        <v>1.2918218026435042E-2</v>
      </c>
      <c r="S147" s="3">
        <v>-1.7755394428231704E-2</v>
      </c>
      <c r="T147" s="3">
        <v>3.621605282120445E-2</v>
      </c>
      <c r="U147" s="3">
        <v>-3.0076880072306647E-2</v>
      </c>
      <c r="V147" s="3">
        <v>1.102938938197499E-2</v>
      </c>
      <c r="W147" s="3">
        <v>-3.3779464185042081E-2</v>
      </c>
      <c r="X147" s="3">
        <v>-1.717647058823522E-2</v>
      </c>
      <c r="Y147" s="3">
        <v>-1.3509132319346508E-3</v>
      </c>
      <c r="Z147" s="3">
        <v>3.5348837209302396E-2</v>
      </c>
      <c r="AA147" s="3">
        <v>-2.7237768017389433E-2</v>
      </c>
      <c r="AB147" s="3">
        <v>-6.7346943901731892E-3</v>
      </c>
      <c r="AC147" s="3">
        <v>-1.2882531265923385E-2</v>
      </c>
      <c r="AD147" s="3">
        <v>-7.4425250443064901E-3</v>
      </c>
      <c r="AE147" s="3">
        <v>2.7578512611525718E-2</v>
      </c>
      <c r="AF147" s="3">
        <v>-7.5271147104180886E-3</v>
      </c>
      <c r="AG147" s="3">
        <v>-6.582227848101343E-3</v>
      </c>
      <c r="AH147" s="3">
        <v>-5.6464699403863863E-3</v>
      </c>
      <c r="AI147" s="3">
        <v>-1.3556062033871134E-2</v>
      </c>
      <c r="AJ147" s="3">
        <v>-1.2354962359799162E-3</v>
      </c>
      <c r="AK147" s="3">
        <v>-1.7241379310344845E-2</v>
      </c>
      <c r="AL147" s="3">
        <v>3.6274832593943041E-3</v>
      </c>
      <c r="AM147" s="3">
        <v>4.2507434133648913E-3</v>
      </c>
      <c r="AN147" s="3">
        <v>4.8138542036053012E-3</v>
      </c>
    </row>
    <row r="148" spans="1:40" x14ac:dyDescent="0.3">
      <c r="A148" s="101">
        <v>44525</v>
      </c>
      <c r="B148" s="3">
        <v>7.555093827815259E-4</v>
      </c>
      <c r="C148" s="3">
        <v>1.6765128998939376E-2</v>
      </c>
      <c r="D148" s="3">
        <v>1.3812264761356408E-2</v>
      </c>
      <c r="E148" s="3">
        <v>2.1894754397303495E-3</v>
      </c>
      <c r="F148" s="3">
        <v>1.0655660512177778E-2</v>
      </c>
      <c r="G148" s="3">
        <v>6.9775174559624795E-3</v>
      </c>
      <c r="H148" s="3">
        <v>2.0294416094355032E-3</v>
      </c>
      <c r="I148" s="3">
        <v>1.6897003897186194E-2</v>
      </c>
      <c r="J148" s="3">
        <v>1.1703702718112458E-2</v>
      </c>
      <c r="K148" s="3">
        <v>5.3763440860213904E-3</v>
      </c>
      <c r="L148" s="3">
        <v>1.0724366284610657E-2</v>
      </c>
      <c r="M148" s="3">
        <v>-4.2183335264804729E-2</v>
      </c>
      <c r="N148" s="3">
        <v>-1.1930858283798531E-2</v>
      </c>
      <c r="O148" s="3">
        <v>9.0462936321532659E-3</v>
      </c>
      <c r="P148" s="3">
        <v>2.9062087186261524E-2</v>
      </c>
      <c r="Q148" s="3">
        <v>0</v>
      </c>
      <c r="R148" s="3">
        <v>-2.5598714818866018E-2</v>
      </c>
      <c r="S148" s="3">
        <v>-1.2619404151274884E-2</v>
      </c>
      <c r="T148" s="3">
        <v>-2.7719101703831309E-2</v>
      </c>
      <c r="U148" s="3">
        <v>2.3321286218132937E-4</v>
      </c>
      <c r="V148" s="3">
        <v>1.6969639818762785E-2</v>
      </c>
      <c r="W148" s="3">
        <v>-3.6279719420962274E-2</v>
      </c>
      <c r="X148" s="3">
        <v>-3.7586760833133892E-2</v>
      </c>
      <c r="Y148" s="3">
        <v>-2.69465724468002E-2</v>
      </c>
      <c r="Z148" s="3">
        <v>-3.504043126684641E-2</v>
      </c>
      <c r="AA148" s="3">
        <v>4.8918850647530029E-2</v>
      </c>
      <c r="AB148" s="3">
        <v>-5.146643606820156E-3</v>
      </c>
      <c r="AC148" s="3">
        <v>2.3396601282249293E-3</v>
      </c>
      <c r="AD148" s="3">
        <v>-3.4083489801917089E-3</v>
      </c>
      <c r="AE148" s="3">
        <v>-1.9796258648355349E-2</v>
      </c>
      <c r="AF148" s="3">
        <v>-1.9513655181790844E-2</v>
      </c>
      <c r="AG148" s="3">
        <v>1.1722680340332447E-2</v>
      </c>
      <c r="AH148" s="3">
        <v>-2.2136732488213132E-2</v>
      </c>
      <c r="AI148" s="3">
        <v>1.1249009883724227E-2</v>
      </c>
      <c r="AJ148" s="3">
        <v>-8.223686875332958E-3</v>
      </c>
      <c r="AK148" s="3">
        <v>-5.8479532163742748E-3</v>
      </c>
      <c r="AL148" s="3">
        <v>-1.2184546690262402E-2</v>
      </c>
      <c r="AM148" s="3">
        <v>3.8154250550148497E-2</v>
      </c>
      <c r="AN148" s="3">
        <v>1.3011699405161775E-2</v>
      </c>
    </row>
    <row r="149" spans="1:40" x14ac:dyDescent="0.3">
      <c r="A149" s="101">
        <v>44526</v>
      </c>
      <c r="B149" s="3">
        <v>-9.058929050056003E-3</v>
      </c>
      <c r="C149" s="3">
        <v>-4.1802480477592264E-3</v>
      </c>
      <c r="D149" s="3">
        <v>2.9972655514840119E-2</v>
      </c>
      <c r="E149" s="3">
        <v>7.8984680318632382E-3</v>
      </c>
      <c r="F149" s="3">
        <v>-2.0275727268714162E-2</v>
      </c>
      <c r="G149" s="3">
        <v>-2.4729231665267658E-2</v>
      </c>
      <c r="H149" s="3">
        <v>1.3759044278437919E-3</v>
      </c>
      <c r="I149" s="3">
        <v>-2.0141224312008664E-3</v>
      </c>
      <c r="J149" s="3">
        <v>-1.222565480394997E-2</v>
      </c>
      <c r="K149" s="3">
        <v>3.529411764705883E-2</v>
      </c>
      <c r="L149" s="3">
        <v>2.1894754397303495E-3</v>
      </c>
      <c r="M149" s="3">
        <v>1.2032667876588021</v>
      </c>
      <c r="N149" s="3">
        <v>-1.3770646141123396E-3</v>
      </c>
      <c r="O149" s="3">
        <v>-1.6773679125900581E-2</v>
      </c>
      <c r="P149" s="3">
        <v>-5.7766367137355489E-3</v>
      </c>
      <c r="Q149" s="3">
        <v>-5.6180481179652249E-3</v>
      </c>
      <c r="R149" s="3">
        <v>8.0978607789332618E-3</v>
      </c>
      <c r="S149" s="3">
        <v>7.2538338856780685E-3</v>
      </c>
      <c r="T149" s="3">
        <v>-3.4088405329722091E-3</v>
      </c>
      <c r="U149" s="3">
        <v>3.4964105387540094E-3</v>
      </c>
      <c r="V149" s="3">
        <v>-7.151390769145745E-3</v>
      </c>
      <c r="W149" s="3">
        <v>-1.7795904812926363E-2</v>
      </c>
      <c r="X149" s="3">
        <v>-2.7363258025789625E-2</v>
      </c>
      <c r="Y149" s="3">
        <v>-1.3123510947856248E-2</v>
      </c>
      <c r="Z149" s="3">
        <v>-2.420856610800743E-2</v>
      </c>
      <c r="AA149" s="3">
        <v>-1.0284031438750115E-2</v>
      </c>
      <c r="AB149" s="3">
        <v>5.0090194660815497E-2</v>
      </c>
      <c r="AC149" s="3">
        <v>4.9600130934022608E-3</v>
      </c>
      <c r="AD149" s="3">
        <v>1.4021895661777075E-2</v>
      </c>
      <c r="AE149" s="3">
        <v>-1.2888480234893342E-2</v>
      </c>
      <c r="AF149" s="3">
        <v>1.3556536353142584E-2</v>
      </c>
      <c r="AG149" s="3">
        <v>4.0302267002518032E-3</v>
      </c>
      <c r="AH149" s="3">
        <v>8.3661659315177224E-3</v>
      </c>
      <c r="AI149" s="3">
        <v>1.5252212360655033E-2</v>
      </c>
      <c r="AJ149" s="3">
        <v>2.282073202223717E-2</v>
      </c>
      <c r="AK149" s="3">
        <v>1.7647058823529429E-2</v>
      </c>
      <c r="AL149" s="3">
        <v>4.3805098549028788E-3</v>
      </c>
      <c r="AM149" s="3">
        <v>-5.0533174187557617E-3</v>
      </c>
      <c r="AN149" s="3">
        <v>2.5816020608875226E-3</v>
      </c>
    </row>
    <row r="150" spans="1:40" x14ac:dyDescent="0.3">
      <c r="A150" s="101">
        <v>44529</v>
      </c>
      <c r="B150" s="3">
        <v>6.0944342017322257E-3</v>
      </c>
      <c r="C150" s="3">
        <v>8.8619040855606231E-3</v>
      </c>
      <c r="D150" s="3">
        <v>1.5873088382611623E-2</v>
      </c>
      <c r="E150" s="3">
        <v>8.4201475894349533E-3</v>
      </c>
      <c r="F150" s="3">
        <v>7.0364075822016E-3</v>
      </c>
      <c r="G150" s="3">
        <v>-1.6124262716984524E-2</v>
      </c>
      <c r="H150" s="3">
        <v>5.100339656240095E-3</v>
      </c>
      <c r="I150" s="3">
        <v>-7.0635780432178217E-3</v>
      </c>
      <c r="J150" s="3">
        <v>8.2511842691832104E-3</v>
      </c>
      <c r="K150" s="3">
        <v>1.1363636363636305E-2</v>
      </c>
      <c r="L150" s="3">
        <v>7.8984680318632382E-3</v>
      </c>
      <c r="M150" s="3">
        <v>-0.50626029654036242</v>
      </c>
      <c r="N150" s="3">
        <v>3.5002224592964189E-3</v>
      </c>
      <c r="O150" s="3">
        <v>5.220915082585249E-3</v>
      </c>
      <c r="P150" s="3">
        <v>2.0658489347966449E-2</v>
      </c>
      <c r="Q150" s="3">
        <v>2.3540528908381229E-2</v>
      </c>
      <c r="R150" s="3">
        <v>5.0440028495994582E-3</v>
      </c>
      <c r="S150" s="3">
        <v>-5.4868854835021085E-3</v>
      </c>
      <c r="T150" s="3">
        <v>6.2189613727289209E-3</v>
      </c>
      <c r="U150" s="3">
        <v>-1.0917473296876217E-2</v>
      </c>
      <c r="V150" s="3">
        <v>-1.2004321531088953E-3</v>
      </c>
      <c r="W150" s="3">
        <v>-2.9616837522641607E-2</v>
      </c>
      <c r="X150" s="3">
        <v>6.3938622196348964E-3</v>
      </c>
      <c r="Y150" s="3">
        <v>2.141235126267967E-3</v>
      </c>
      <c r="Z150" s="3">
        <v>-5.7251908396946528E-2</v>
      </c>
      <c r="AA150" s="3">
        <v>-1.6549540094421767E-2</v>
      </c>
      <c r="AB150" s="3">
        <v>-5.4733413228887941E-4</v>
      </c>
      <c r="AC150" s="3">
        <v>4.3558339766648174E-4</v>
      </c>
      <c r="AD150" s="3">
        <v>-6.4082097743052577E-3</v>
      </c>
      <c r="AE150" s="3">
        <v>1.7742211950605331E-2</v>
      </c>
      <c r="AF150" s="3">
        <v>2.1343238711274078E-2</v>
      </c>
      <c r="AG150" s="3">
        <v>7.5263421976918508E-3</v>
      </c>
      <c r="AH150" s="3">
        <v>1.708155217094167E-2</v>
      </c>
      <c r="AI150" s="3">
        <v>-2.2582097526803718E-4</v>
      </c>
      <c r="AJ150" s="3">
        <v>-7.5328073949627889E-3</v>
      </c>
      <c r="AK150" s="3">
        <v>1.1560693641618507E-2</v>
      </c>
      <c r="AL150" s="3">
        <v>-2.6982470659983044E-3</v>
      </c>
      <c r="AM150" s="3">
        <v>9.7156252996399451E-3</v>
      </c>
      <c r="AN150" s="3">
        <v>2.3961221513772928E-2</v>
      </c>
    </row>
    <row r="151" spans="1:40" x14ac:dyDescent="0.3">
      <c r="A151" s="101">
        <v>44530</v>
      </c>
      <c r="B151" s="3">
        <v>7.0671773876702232E-3</v>
      </c>
      <c r="C151" s="3">
        <v>-5.1779954306001144E-2</v>
      </c>
      <c r="D151" s="3">
        <v>2.8646006231406326E-2</v>
      </c>
      <c r="E151" s="3">
        <v>2.1081383219144385E-3</v>
      </c>
      <c r="F151" s="3">
        <v>-2.1783789297658871E-2</v>
      </c>
      <c r="G151" s="3">
        <v>2.0409932984734331E-2</v>
      </c>
      <c r="H151" s="3">
        <v>3.3392268013050898E-3</v>
      </c>
      <c r="I151" s="3">
        <v>3.5569656145761062E-3</v>
      </c>
      <c r="J151" s="3">
        <v>2.5079718139242595E-3</v>
      </c>
      <c r="K151" s="3">
        <v>-9.1930541368743478E-3</v>
      </c>
      <c r="L151" s="3">
        <v>8.4201475894349533E-3</v>
      </c>
      <c r="M151" s="3">
        <v>-0.20409298187075964</v>
      </c>
      <c r="N151" s="3">
        <v>-1.1627092985283985E-3</v>
      </c>
      <c r="O151" s="3">
        <v>4.1698488204034651E-3</v>
      </c>
      <c r="P151" s="3">
        <v>4.3643263757115719E-2</v>
      </c>
      <c r="Q151" s="3">
        <v>-2.6678939502543447E-2</v>
      </c>
      <c r="R151" s="3">
        <v>8.3642882757686485E-3</v>
      </c>
      <c r="S151" s="3">
        <v>1.5516347777130874E-3</v>
      </c>
      <c r="T151" s="3">
        <v>1.0506844858893383E-2</v>
      </c>
      <c r="U151" s="3">
        <v>-3.2880442048102898E-3</v>
      </c>
      <c r="V151" s="3">
        <v>1.0817286272819863E-2</v>
      </c>
      <c r="W151" s="3">
        <v>4.6319625210902216E-2</v>
      </c>
      <c r="X151" s="3">
        <v>-6.3532404753870635E-3</v>
      </c>
      <c r="Y151" s="3">
        <v>2.4739217607898318E-3</v>
      </c>
      <c r="Z151" s="3">
        <v>-7.0850202429150076E-3</v>
      </c>
      <c r="AA151" s="3">
        <v>5.3197818839015656E-2</v>
      </c>
      <c r="AB151" s="3">
        <v>6.9634836635770348E-3</v>
      </c>
      <c r="AC151" s="3">
        <v>-4.3167625925275835E-3</v>
      </c>
      <c r="AD151" s="3">
        <v>-4.7520724085499243E-3</v>
      </c>
      <c r="AE151" s="3">
        <v>1.1233208278704675E-2</v>
      </c>
      <c r="AF151" s="3">
        <v>8.6375473708275308E-3</v>
      </c>
      <c r="AG151" s="3">
        <v>-1.2450199203187252E-2</v>
      </c>
      <c r="AH151" s="3">
        <v>4.9903976950188812E-2</v>
      </c>
      <c r="AI151" s="3">
        <v>2.2765761874233677E-2</v>
      </c>
      <c r="AJ151" s="3">
        <v>1.5613642202756309E-2</v>
      </c>
      <c r="AK151" s="3">
        <v>1.1428571428571439E-2</v>
      </c>
      <c r="AL151" s="3">
        <v>-8.5650026417469285E-3</v>
      </c>
      <c r="AM151" s="3">
        <v>1.5376420438238829E-2</v>
      </c>
      <c r="AN151" s="3">
        <v>-1.5057451741274902E-3</v>
      </c>
    </row>
    <row r="152" spans="1:40" x14ac:dyDescent="0.3">
      <c r="A152" s="101">
        <v>44531</v>
      </c>
      <c r="B152" s="3">
        <v>2.5563829197567816E-2</v>
      </c>
      <c r="C152" s="3">
        <v>9.5076118597436608E-3</v>
      </c>
      <c r="D152" s="3">
        <v>-2.0253423657126221E-2</v>
      </c>
      <c r="E152" s="3">
        <v>1.0807375973317889E-2</v>
      </c>
      <c r="F152" s="3">
        <v>2.7731076911707651E-2</v>
      </c>
      <c r="G152" s="3">
        <v>1.8645733005266797E-3</v>
      </c>
      <c r="H152" s="3">
        <v>3.8295104839206964E-3</v>
      </c>
      <c r="I152" s="3">
        <v>2.734180844913156E-2</v>
      </c>
      <c r="J152" s="3">
        <v>8.6900386526916045E-3</v>
      </c>
      <c r="K152" s="3">
        <v>5.1546391752578056E-3</v>
      </c>
      <c r="L152" s="3">
        <v>2.1081383219144385E-3</v>
      </c>
      <c r="M152" s="3">
        <v>-0.25363331470095024</v>
      </c>
      <c r="N152" s="3">
        <v>2.000010930882884E-2</v>
      </c>
      <c r="O152" s="3">
        <v>-1.4576991257296885E-4</v>
      </c>
      <c r="P152" s="3">
        <v>1.1515212121212046E-2</v>
      </c>
      <c r="Q152" s="3">
        <v>1.890462289022136E-3</v>
      </c>
      <c r="R152" s="3">
        <v>9.3087548605178903E-3</v>
      </c>
      <c r="S152" s="3">
        <v>0</v>
      </c>
      <c r="T152" s="3">
        <v>-9.174346438790195E-3</v>
      </c>
      <c r="U152" s="3">
        <v>-7.0687871163116357E-3</v>
      </c>
      <c r="V152" s="3">
        <v>1.5457780721994111E-2</v>
      </c>
      <c r="W152" s="3">
        <v>1.7158561529505645E-3</v>
      </c>
      <c r="X152" s="3">
        <v>3.45269327123751E-2</v>
      </c>
      <c r="Y152" s="3">
        <v>2.7315111286139185E-2</v>
      </c>
      <c r="Z152" s="3">
        <v>-1.0193679918450525E-2</v>
      </c>
      <c r="AA152" s="3">
        <v>5.9612781547933362E-2</v>
      </c>
      <c r="AB152" s="3">
        <v>-1.5850758191620486E-2</v>
      </c>
      <c r="AC152" s="3">
        <v>6.9949829607082103E-3</v>
      </c>
      <c r="AD152" s="3">
        <v>1.4665698724587218E-2</v>
      </c>
      <c r="AE152" s="3">
        <v>3.4083949329478481E-2</v>
      </c>
      <c r="AF152" s="3">
        <v>-2.5966978759683026E-2</v>
      </c>
      <c r="AG152" s="3">
        <v>1.4120070600100967E-2</v>
      </c>
      <c r="AH152" s="3">
        <v>5.4844764436049161E-3</v>
      </c>
      <c r="AI152" s="3">
        <v>-1.4305434179794869E-2</v>
      </c>
      <c r="AJ152" s="3">
        <v>-2.2918111284213782E-2</v>
      </c>
      <c r="AK152" s="3">
        <v>-1.1299435028248598E-2</v>
      </c>
      <c r="AL152" s="3">
        <v>-9.6630016475657242E-3</v>
      </c>
      <c r="AM152" s="3">
        <v>2.9085905989750618E-3</v>
      </c>
      <c r="AN152" s="3">
        <v>-1.0639396982525787E-2</v>
      </c>
    </row>
    <row r="153" spans="1:40" x14ac:dyDescent="0.3">
      <c r="A153" s="101">
        <v>44532</v>
      </c>
      <c r="B153" s="3">
        <v>1.099715661637553E-2</v>
      </c>
      <c r="C153" s="3">
        <v>1.3040339059888051E-2</v>
      </c>
      <c r="D153" s="3">
        <v>5.1681573685678469E-3</v>
      </c>
      <c r="E153" s="3">
        <v>-3.5380707864197225E-2</v>
      </c>
      <c r="F153" s="3">
        <v>-4.4971089995788031E-3</v>
      </c>
      <c r="G153" s="3">
        <v>2.5505452377171594E-2</v>
      </c>
      <c r="H153" s="3">
        <v>-2.6892520404653984E-3</v>
      </c>
      <c r="I153" s="3">
        <v>-1.6264246659891426E-2</v>
      </c>
      <c r="J153" s="3">
        <v>-5.0908787311727943E-3</v>
      </c>
      <c r="K153" s="3">
        <v>-1.5384615384615422E-2</v>
      </c>
      <c r="L153" s="3">
        <v>1.0807375973317889E-2</v>
      </c>
      <c r="M153" s="3">
        <v>0.46639206141172063</v>
      </c>
      <c r="N153" s="3">
        <v>5.3946991603782204E-3</v>
      </c>
      <c r="O153" s="3">
        <v>-8.0144546895495128E-4</v>
      </c>
      <c r="P153" s="3">
        <v>3.2354641560536856E-2</v>
      </c>
      <c r="Q153" s="3">
        <v>-9.4340594440638411E-3</v>
      </c>
      <c r="R153" s="3">
        <v>-2.2920241418570939E-2</v>
      </c>
      <c r="S153" s="3">
        <v>-1.0845204911828195E-2</v>
      </c>
      <c r="T153" s="3">
        <v>-1.4252250343660998E-2</v>
      </c>
      <c r="U153" s="3">
        <v>-1.1864979281682967E-3</v>
      </c>
      <c r="V153" s="3">
        <v>7.0256805337492968E-3</v>
      </c>
      <c r="W153" s="3">
        <v>-2.5351095971272022E-2</v>
      </c>
      <c r="X153" s="3">
        <v>1.2360939125811146E-2</v>
      </c>
      <c r="Y153" s="3">
        <v>-3.8217786891945921E-3</v>
      </c>
      <c r="Z153" s="3">
        <v>2.3686920700308818E-2</v>
      </c>
      <c r="AA153" s="3">
        <v>-6.4949683396841887E-2</v>
      </c>
      <c r="AB153" s="3">
        <v>1.2395412666415752E-2</v>
      </c>
      <c r="AC153" s="3">
        <v>-1.3060727490464398E-2</v>
      </c>
      <c r="AD153" s="3">
        <v>-2.5210095431339816E-2</v>
      </c>
      <c r="AE153" s="3">
        <v>3.9006807405304406E-2</v>
      </c>
      <c r="AF153" s="3">
        <v>-1.162790697674424E-2</v>
      </c>
      <c r="AG153" s="3">
        <v>-1.5415314996752152E-2</v>
      </c>
      <c r="AH153" s="3">
        <v>9.0909350535236313E-3</v>
      </c>
      <c r="AI153" s="3">
        <v>-4.7630290752875681E-3</v>
      </c>
      <c r="AJ153" s="3">
        <v>4.9096572807332622E-2</v>
      </c>
      <c r="AK153" s="3">
        <v>0.23428571428571437</v>
      </c>
      <c r="AL153" s="3">
        <v>4.8295388799548655E-3</v>
      </c>
      <c r="AM153" s="3">
        <v>-1.0365869352810453E-2</v>
      </c>
      <c r="AN153" s="3">
        <v>1.4149079027400186E-3</v>
      </c>
    </row>
    <row r="154" spans="1:40" x14ac:dyDescent="0.3">
      <c r="A154" s="101">
        <v>44533</v>
      </c>
      <c r="B154" s="3">
        <v>-4.9794451913457244E-2</v>
      </c>
      <c r="C154" s="3">
        <v>7.628151733894562E-3</v>
      </c>
      <c r="D154" s="3">
        <v>2.5706879790942088E-2</v>
      </c>
      <c r="E154" s="3">
        <v>3.0883460270296616E-3</v>
      </c>
      <c r="F154" s="3">
        <v>4.1065300511285743E-4</v>
      </c>
      <c r="G154" s="3">
        <v>4.9498866358001117E-4</v>
      </c>
      <c r="H154" s="3">
        <v>5.2260635402229347E-4</v>
      </c>
      <c r="I154" s="3">
        <v>-1.9539065016187115E-2</v>
      </c>
      <c r="J154" s="3">
        <v>1.2201596719788122E-2</v>
      </c>
      <c r="K154" s="3">
        <v>-5.2083333333332229E-3</v>
      </c>
      <c r="L154" s="3">
        <v>-3.5380707864197225E-2</v>
      </c>
      <c r="M154" s="3">
        <v>0.27055669050051073</v>
      </c>
      <c r="N154" s="3">
        <v>-5.9849316999788819E-3</v>
      </c>
      <c r="O154" s="3">
        <v>2.0198258520522552E-2</v>
      </c>
      <c r="P154" s="3">
        <v>-2.8438769587928146E-2</v>
      </c>
      <c r="Q154" s="3">
        <v>0</v>
      </c>
      <c r="R154" s="3">
        <v>-8.3177758307911073E-3</v>
      </c>
      <c r="S154" s="3">
        <v>-1.5662165314601331E-3</v>
      </c>
      <c r="T154" s="3">
        <v>-3.177531475936737E-3</v>
      </c>
      <c r="U154" s="3">
        <v>-4.0389885479343223E-3</v>
      </c>
      <c r="V154" s="3">
        <v>-8.1395085868307803E-3</v>
      </c>
      <c r="W154" s="3">
        <v>1.4059419620214761E-3</v>
      </c>
      <c r="X154" s="3">
        <v>-9.7682537297138832E-4</v>
      </c>
      <c r="Y154" s="3">
        <v>1.1673730780904898E-2</v>
      </c>
      <c r="Z154" s="3">
        <v>-1.2072434607645796E-2</v>
      </c>
      <c r="AA154" s="3">
        <v>-1.464926633388566E-2</v>
      </c>
      <c r="AB154" s="3">
        <v>2.8464467274470221E-2</v>
      </c>
      <c r="AC154" s="3">
        <v>-2.0895241071677274E-2</v>
      </c>
      <c r="AD154" s="3">
        <v>-6.5516959310061764E-3</v>
      </c>
      <c r="AE154" s="3">
        <v>2.0056242937853169E-3</v>
      </c>
      <c r="AF154" s="3">
        <v>1.1477701536185844E-3</v>
      </c>
      <c r="AG154" s="3">
        <v>-7.5757074533186145E-3</v>
      </c>
      <c r="AH154" s="3">
        <v>-1.4414455209496257E-2</v>
      </c>
      <c r="AI154" s="3">
        <v>5.7429539522127464E-3</v>
      </c>
      <c r="AJ154" s="3">
        <v>-1.0901287259660091E-2</v>
      </c>
      <c r="AK154" s="3">
        <v>-9.7222222222222307E-2</v>
      </c>
      <c r="AL154" s="3">
        <v>-9.1239358876819172E-3</v>
      </c>
      <c r="AM154" s="3">
        <v>-2.9871926805207704E-3</v>
      </c>
      <c r="AN154" s="3">
        <v>1.0603272033263656E-4</v>
      </c>
    </row>
    <row r="155" spans="1:40" x14ac:dyDescent="0.3">
      <c r="A155" s="101">
        <v>44536</v>
      </c>
      <c r="B155" s="3">
        <v>-9.4124730790724979E-3</v>
      </c>
      <c r="C155" s="3">
        <v>-3.7852374549871915E-3</v>
      </c>
      <c r="D155" s="3">
        <v>3.2581556355016202E-2</v>
      </c>
      <c r="E155" s="3">
        <v>2.5684170363419849E-2</v>
      </c>
      <c r="F155" s="3">
        <v>8.2096871185760351E-4</v>
      </c>
      <c r="G155" s="3">
        <v>3.1413591046315914E-2</v>
      </c>
      <c r="H155" s="3">
        <v>-1.2985788179305138E-3</v>
      </c>
      <c r="I155" s="3">
        <v>-3.5768539902623444E-3</v>
      </c>
      <c r="J155" s="3">
        <v>-1.1666099114367146E-3</v>
      </c>
      <c r="K155" s="3">
        <v>-5.2356020942409117E-3</v>
      </c>
      <c r="L155" s="3">
        <v>3.0883460270296616E-3</v>
      </c>
      <c r="M155" s="3">
        <v>-0.32871068234348305</v>
      </c>
      <c r="N155" s="3">
        <v>6.2290721747315094E-4</v>
      </c>
      <c r="O155" s="3">
        <v>2.2657506928316085E-2</v>
      </c>
      <c r="P155" s="3">
        <v>5.3763440860214971E-3</v>
      </c>
      <c r="Q155" s="3">
        <v>1.6190518915299375E-2</v>
      </c>
      <c r="R155" s="3">
        <v>-1.0366832549348792E-3</v>
      </c>
      <c r="S155" s="3">
        <v>1.5268137163742439E-3</v>
      </c>
      <c r="T155" s="3">
        <v>3.5064586023860721E-3</v>
      </c>
      <c r="U155" s="3">
        <v>-7.633542471991466E-3</v>
      </c>
      <c r="V155" s="3">
        <v>-1.1723262541080456E-2</v>
      </c>
      <c r="W155" s="3">
        <v>4.1418011211638364E-2</v>
      </c>
      <c r="X155" s="3">
        <v>1.7110730872647345E-3</v>
      </c>
      <c r="Y155" s="3">
        <v>1.5439655787196501E-2</v>
      </c>
      <c r="Z155" s="3">
        <v>3.1568228105906364E-2</v>
      </c>
      <c r="AA155" s="3">
        <v>8.8077691312411933E-3</v>
      </c>
      <c r="AB155" s="3">
        <v>-6.9760515798485143E-3</v>
      </c>
      <c r="AC155" s="3">
        <v>3.8188963093923204E-3</v>
      </c>
      <c r="AD155" s="3">
        <v>-4.1652236974539219E-3</v>
      </c>
      <c r="AE155" s="3">
        <v>1.6492366012887425E-2</v>
      </c>
      <c r="AF155" s="3">
        <v>3.0381285569137797E-2</v>
      </c>
      <c r="AG155" s="3">
        <v>-4.5802035623408316E-3</v>
      </c>
      <c r="AH155" s="3">
        <v>9.1407940726748599E-3</v>
      </c>
      <c r="AI155" s="3">
        <v>3.6387764755972788E-3</v>
      </c>
      <c r="AJ155" s="3">
        <v>-4.8436981120230501E-3</v>
      </c>
      <c r="AK155" s="3">
        <v>-3.5897435897435929E-2</v>
      </c>
      <c r="AL155" s="3">
        <v>5.1523061739841497E-3</v>
      </c>
      <c r="AM155" s="3">
        <v>-2.4368112160776244E-2</v>
      </c>
      <c r="AN155" s="3">
        <v>-6.6271220730980103E-3</v>
      </c>
    </row>
    <row r="156" spans="1:40" x14ac:dyDescent="0.3">
      <c r="A156" s="101">
        <v>44537</v>
      </c>
      <c r="B156" s="3">
        <v>1.361065054000646E-2</v>
      </c>
      <c r="C156" s="3">
        <v>9.0241390933196112E-3</v>
      </c>
      <c r="D156" s="3">
        <v>1.6990077636876471E-2</v>
      </c>
      <c r="E156" s="3">
        <v>-1.073177678405393E-2</v>
      </c>
      <c r="F156" s="3">
        <v>1.2306040989158024E-3</v>
      </c>
      <c r="G156" s="3">
        <v>-3.9609908152924471E-2</v>
      </c>
      <c r="H156" s="3">
        <v>-4.7615934449094085E-3</v>
      </c>
      <c r="I156" s="3">
        <v>-1.1282052413616716E-2</v>
      </c>
      <c r="J156" s="3">
        <v>4.4120477516950253E-3</v>
      </c>
      <c r="K156" s="3">
        <v>1.0526315789473648E-2</v>
      </c>
      <c r="L156" s="3">
        <v>2.5684170363419849E-2</v>
      </c>
      <c r="M156" s="3">
        <v>7.2904191616766464E-2</v>
      </c>
      <c r="N156" s="3">
        <v>-5.6023260996034482E-3</v>
      </c>
      <c r="O156" s="3">
        <v>-1.8031970644074916E-2</v>
      </c>
      <c r="P156" s="3">
        <v>-2.6738027332144788E-2</v>
      </c>
      <c r="Q156" s="3">
        <v>1.874398471206489E-3</v>
      </c>
      <c r="R156" s="3">
        <v>1.3113210338956223E-2</v>
      </c>
      <c r="S156" s="3">
        <v>-7.6159617123898755E-3</v>
      </c>
      <c r="T156" s="3">
        <v>6.9886051416918633E-3</v>
      </c>
      <c r="U156" s="3">
        <v>6.4903621475672166E-3</v>
      </c>
      <c r="V156" s="3">
        <v>1.6607401096359903E-2</v>
      </c>
      <c r="W156" s="3">
        <v>7.2800788240634615E-2</v>
      </c>
      <c r="X156" s="3">
        <v>4.8804294777948093E-4</v>
      </c>
      <c r="Y156" s="3">
        <v>-2.6461832837581772E-2</v>
      </c>
      <c r="Z156" s="3">
        <v>-7.8973346495557813E-3</v>
      </c>
      <c r="AA156" s="3">
        <v>2.4443494363401212E-2</v>
      </c>
      <c r="AB156" s="3">
        <v>7.7122512300491991E-3</v>
      </c>
      <c r="AC156" s="3">
        <v>-2.6481333770542051E-3</v>
      </c>
      <c r="AD156" s="3">
        <v>-4.5312947435700501E-3</v>
      </c>
      <c r="AE156" s="3">
        <v>-9.9012869419863644E-3</v>
      </c>
      <c r="AF156" s="3">
        <v>1.112650533992892E-3</v>
      </c>
      <c r="AG156" s="3">
        <v>1.5337935344474512E-3</v>
      </c>
      <c r="AH156" s="3">
        <v>2.1648593968134285E-2</v>
      </c>
      <c r="AI156" s="3">
        <v>6.3587110286412946E-3</v>
      </c>
      <c r="AJ156" s="3">
        <v>-1.128602879657035E-3</v>
      </c>
      <c r="AK156" s="3">
        <v>0</v>
      </c>
      <c r="AL156" s="3">
        <v>3.7346770200067598E-3</v>
      </c>
      <c r="AM156" s="3">
        <v>-9.9130971043803924E-4</v>
      </c>
      <c r="AN156" s="3">
        <v>-3.9494170616767551E-3</v>
      </c>
    </row>
    <row r="157" spans="1:40" x14ac:dyDescent="0.3">
      <c r="A157" s="101">
        <v>44538</v>
      </c>
      <c r="B157" s="3">
        <v>-5.8270912128217519E-3</v>
      </c>
      <c r="C157" s="3">
        <v>2.941857869174928E-2</v>
      </c>
      <c r="D157" s="3">
        <v>-1.1933026690708034E-2</v>
      </c>
      <c r="E157" s="3">
        <v>2.0068466779291614E-2</v>
      </c>
      <c r="F157" s="3">
        <v>-1.024173233093786E-2</v>
      </c>
      <c r="G157" s="3">
        <v>4.6154469977336667E-2</v>
      </c>
      <c r="H157" s="3">
        <v>4.4887725944013125E-4</v>
      </c>
      <c r="I157" s="3">
        <v>-1.3485449562896866E-2</v>
      </c>
      <c r="J157" s="3">
        <v>1.3178420418869937E-2</v>
      </c>
      <c r="K157" s="3">
        <v>1.5625000000000038E-2</v>
      </c>
      <c r="L157" s="3">
        <v>-1.073177678405393E-2</v>
      </c>
      <c r="M157" s="3">
        <v>0.45569973489605137</v>
      </c>
      <c r="N157" s="3">
        <v>-5.2171602705801141E-4</v>
      </c>
      <c r="O157" s="3">
        <v>9.2526973466912615E-3</v>
      </c>
      <c r="P157" s="3">
        <v>4.2124605746312847E-2</v>
      </c>
      <c r="Q157" s="3">
        <v>-8.4190120537562581E-3</v>
      </c>
      <c r="R157" s="3">
        <v>-3.0077221188785586E-2</v>
      </c>
      <c r="S157" s="3">
        <v>-5.5244017791208052E-3</v>
      </c>
      <c r="T157" s="3">
        <v>-1.1671945901044407E-2</v>
      </c>
      <c r="U157" s="3">
        <v>2.3881990871506547E-4</v>
      </c>
      <c r="V157" s="3">
        <v>-1.2835557849038507E-2</v>
      </c>
      <c r="W157" s="3">
        <v>-2.6075992737980502E-2</v>
      </c>
      <c r="X157" s="3">
        <v>-1.7073195121951226E-2</v>
      </c>
      <c r="Y157" s="3">
        <v>-9.3708463255336751E-3</v>
      </c>
      <c r="Z157" s="3">
        <v>-2.9850746268656785E-2</v>
      </c>
      <c r="AA157" s="3">
        <v>2.9013101754622921E-3</v>
      </c>
      <c r="AB157" s="3">
        <v>3.5765690572860699E-2</v>
      </c>
      <c r="AC157" s="3">
        <v>3.5901294747224297E-2</v>
      </c>
      <c r="AD157" s="3">
        <v>-5.6021839285506454E-3</v>
      </c>
      <c r="AE157" s="3">
        <v>-4.6443840063974798E-2</v>
      </c>
      <c r="AF157" s="3">
        <v>2.0561217345969291E-2</v>
      </c>
      <c r="AG157" s="3">
        <v>6.6359877488515332E-3</v>
      </c>
      <c r="AH157" s="3">
        <v>-1.5870227777215692E-2</v>
      </c>
      <c r="AI157" s="3">
        <v>1.1916809148369383E-2</v>
      </c>
      <c r="AJ157" s="3">
        <v>5.8614579178804188E-3</v>
      </c>
      <c r="AK157" s="3">
        <v>0</v>
      </c>
      <c r="AL157" s="3">
        <v>2.1416454142098019E-2</v>
      </c>
      <c r="AM157" s="3">
        <v>1.0020087340861458E-2</v>
      </c>
      <c r="AN157" s="3">
        <v>3.5071133893152008E-2</v>
      </c>
    </row>
    <row r="158" spans="1:40" x14ac:dyDescent="0.3">
      <c r="A158" s="101">
        <v>44539</v>
      </c>
      <c r="B158" s="3">
        <v>3.4403599848446438E-2</v>
      </c>
      <c r="C158" s="3">
        <v>2.7663502030894873E-2</v>
      </c>
      <c r="D158" s="3">
        <v>1.9323675053319781E-2</v>
      </c>
      <c r="E158" s="3">
        <v>-2.541123866726191E-3</v>
      </c>
      <c r="F158" s="3">
        <v>-7.450290066717262E-3</v>
      </c>
      <c r="G158" s="3">
        <v>-1.1258312671725116E-2</v>
      </c>
      <c r="H158" s="3">
        <v>-5.252790544977412E-4</v>
      </c>
      <c r="I158" s="3">
        <v>2.3659192660866728E-2</v>
      </c>
      <c r="J158" s="3">
        <v>-1.1221445862235519E-2</v>
      </c>
      <c r="K158" s="3">
        <v>-1.0256410256410037E-3</v>
      </c>
      <c r="L158" s="3">
        <v>2.0068466779291614E-2</v>
      </c>
      <c r="M158" s="3">
        <v>-0.27096712355027319</v>
      </c>
      <c r="N158" s="3">
        <v>-1.7118918659486934E-2</v>
      </c>
      <c r="O158" s="3">
        <v>-8.2509183993707842E-3</v>
      </c>
      <c r="P158" s="3">
        <v>1.9917984768599874E-2</v>
      </c>
      <c r="Q158" s="3">
        <v>-8.490612338190014E-3</v>
      </c>
      <c r="R158" s="3">
        <v>2.8801085220654331E-3</v>
      </c>
      <c r="S158" s="3">
        <v>7.318721819471399E-3</v>
      </c>
      <c r="T158" s="3">
        <v>-1.9150382017881595E-3</v>
      </c>
      <c r="U158" s="3">
        <v>-4.7754310513115393E-3</v>
      </c>
      <c r="V158" s="3">
        <v>-2.0094568998785246E-2</v>
      </c>
      <c r="W158" s="3">
        <v>1.2903716024899449E-3</v>
      </c>
      <c r="X158" s="3">
        <v>1.4640198874446706E-2</v>
      </c>
      <c r="Y158" s="3">
        <v>8.7403992091520197E-3</v>
      </c>
      <c r="Z158" s="3">
        <v>-5.1282051282052011E-3</v>
      </c>
      <c r="AA158" s="3">
        <v>3.4655246298517903E-3</v>
      </c>
      <c r="AB158" s="3">
        <v>-1.33147537840188E-2</v>
      </c>
      <c r="AC158" s="3">
        <v>-7.9422743682319404E-4</v>
      </c>
      <c r="AD158" s="3">
        <v>3.5445293274468471E-4</v>
      </c>
      <c r="AE158" s="3">
        <v>-2.4676037429265428E-3</v>
      </c>
      <c r="AF158" s="3">
        <v>-2.7225557365212401E-4</v>
      </c>
      <c r="AG158" s="3">
        <v>-1.2677485429892769E-2</v>
      </c>
      <c r="AH158" s="3">
        <v>3.5765629620405255E-2</v>
      </c>
      <c r="AI158" s="3">
        <v>4.2175319061035863E-3</v>
      </c>
      <c r="AJ158" s="3">
        <v>-6.0378034272775974E-3</v>
      </c>
      <c r="AK158" s="3">
        <v>-5.3191489361700999E-3</v>
      </c>
      <c r="AL158" s="3">
        <v>-9.7799101322537454E-3</v>
      </c>
      <c r="AM158" s="3">
        <v>2.2634458532077923E-2</v>
      </c>
      <c r="AN158" s="3">
        <v>1.1583624789383819E-2</v>
      </c>
    </row>
    <row r="159" spans="1:40" x14ac:dyDescent="0.3">
      <c r="A159" s="101">
        <v>44540</v>
      </c>
      <c r="B159" s="3">
        <v>2.3651156496060578E-2</v>
      </c>
      <c r="C159" s="3">
        <v>-1.2903301718124973E-2</v>
      </c>
      <c r="D159" s="3">
        <v>1.6587470111744794E-2</v>
      </c>
      <c r="E159" s="3">
        <v>0</v>
      </c>
      <c r="F159" s="3">
        <v>-1.042538294232366E-2</v>
      </c>
      <c r="G159" s="3">
        <v>1.1949795138201335E-2</v>
      </c>
      <c r="H159" s="3">
        <v>5.4526343450269988E-3</v>
      </c>
      <c r="I159" s="3">
        <v>-1.0785780888736923E-2</v>
      </c>
      <c r="J159" s="3">
        <v>7.6088352923786061E-3</v>
      </c>
      <c r="K159" s="3">
        <v>0</v>
      </c>
      <c r="L159" s="3">
        <v>-2.541123866726191E-3</v>
      </c>
      <c r="M159" s="3">
        <v>0.27793846962924007</v>
      </c>
      <c r="N159" s="3">
        <v>9.0272224834057543E-3</v>
      </c>
      <c r="O159" s="3">
        <v>1.8483824287676409E-3</v>
      </c>
      <c r="P159" s="3">
        <v>2.6995921883974806E-2</v>
      </c>
      <c r="Q159" s="3">
        <v>-3.3301633820511815E-2</v>
      </c>
      <c r="R159" s="3">
        <v>2.9867866769757615E-2</v>
      </c>
      <c r="S159" s="3">
        <v>1.5402521822846562E-2</v>
      </c>
      <c r="T159" s="3">
        <v>-6.7157848481009747E-3</v>
      </c>
      <c r="U159" s="3">
        <v>-1.5355142523442892E-2</v>
      </c>
      <c r="V159" s="3">
        <v>3.6188798209443058E-3</v>
      </c>
      <c r="W159" s="3">
        <v>9.6635254077499745E-4</v>
      </c>
      <c r="X159" s="3">
        <v>-5.1357056770777463E-3</v>
      </c>
      <c r="Y159" s="3">
        <v>-3.4165126377895587E-2</v>
      </c>
      <c r="Z159" s="3">
        <v>-6.1855670103091471E-3</v>
      </c>
      <c r="AA159" s="3">
        <v>4.3228863870275712E-2</v>
      </c>
      <c r="AB159" s="3">
        <v>-8.5268259889780245E-3</v>
      </c>
      <c r="AC159" s="3">
        <v>-1.7739735594116967E-2</v>
      </c>
      <c r="AD159" s="3">
        <v>-2.1260761711835788E-3</v>
      </c>
      <c r="AE159" s="3">
        <v>-2.4443177633176479E-3</v>
      </c>
      <c r="AF159" s="3">
        <v>4.9020228950540619E-3</v>
      </c>
      <c r="AG159" s="3">
        <v>-5.1360043726762861E-3</v>
      </c>
      <c r="AH159" s="3">
        <v>-3.0181646767806537E-2</v>
      </c>
      <c r="AI159" s="3">
        <v>8.7260866350636994E-4</v>
      </c>
      <c r="AJ159" s="3">
        <v>7.0557491905032341E-5</v>
      </c>
      <c r="AK159" s="3">
        <v>-1.0695187165775409E-2</v>
      </c>
      <c r="AL159" s="3">
        <v>-1.0917019568220694E-2</v>
      </c>
      <c r="AM159" s="3">
        <v>-1.1829577974170594E-2</v>
      </c>
      <c r="AN159" s="3">
        <v>-1.0882058607511475E-2</v>
      </c>
    </row>
    <row r="160" spans="1:40" x14ac:dyDescent="0.3">
      <c r="A160" s="101">
        <v>44543</v>
      </c>
      <c r="B160" s="3">
        <v>0</v>
      </c>
      <c r="C160" s="3">
        <v>-9.691260099042592E-3</v>
      </c>
      <c r="D160" s="3">
        <v>-9.3238945277640452E-3</v>
      </c>
      <c r="E160" s="3">
        <v>-1.4793477455388177E-3</v>
      </c>
      <c r="F160" s="3">
        <v>-2.4441656196986513E-2</v>
      </c>
      <c r="G160" s="3">
        <v>-6.7989027632877957E-3</v>
      </c>
      <c r="H160" s="3">
        <v>3.7533122799374907E-3</v>
      </c>
      <c r="I160" s="3">
        <v>6.2304434278695042E-3</v>
      </c>
      <c r="J160" s="3">
        <v>7.8074607667062337E-3</v>
      </c>
      <c r="K160" s="3">
        <v>0</v>
      </c>
      <c r="L160" s="3">
        <v>0</v>
      </c>
      <c r="M160" s="3">
        <v>0.87510288065843622</v>
      </c>
      <c r="N160" s="3">
        <v>8.8411268071362514E-3</v>
      </c>
      <c r="O160" s="3">
        <v>3.3361645003584196E-3</v>
      </c>
      <c r="P160" s="3">
        <v>0</v>
      </c>
      <c r="Q160" s="3">
        <v>-3.149610476827E-2</v>
      </c>
      <c r="R160" s="3">
        <v>-2.416792458322959E-2</v>
      </c>
      <c r="S160" s="3">
        <v>3.4575395835817033E-6</v>
      </c>
      <c r="T160" s="3">
        <v>1.6097898596207791E-2</v>
      </c>
      <c r="U160" s="3">
        <v>1.8518473604037144E-2</v>
      </c>
      <c r="V160" s="3">
        <v>8.4134334418080846E-3</v>
      </c>
      <c r="W160" s="3">
        <v>-1.3678665108824784E-2</v>
      </c>
      <c r="X160" s="3">
        <v>8.603711897738368E-3</v>
      </c>
      <c r="Y160" s="3">
        <v>2.645925580454403E-2</v>
      </c>
      <c r="Z160" s="3">
        <v>-2.5933609958506222E-2</v>
      </c>
      <c r="AA160" s="3">
        <v>1.567398281551614E-2</v>
      </c>
      <c r="AB160" s="3">
        <v>-7.7024663739059763E-3</v>
      </c>
      <c r="AC160" s="3">
        <v>4.7449480403308122E-3</v>
      </c>
      <c r="AD160" s="3">
        <v>3.1960026425911702E-3</v>
      </c>
      <c r="AE160" s="3">
        <v>-1.9838227544376936E-2</v>
      </c>
      <c r="AF160" s="3">
        <v>9.7562497604841217E-3</v>
      </c>
      <c r="AG160" s="3">
        <v>2.0649973120807621E-3</v>
      </c>
      <c r="AH160" s="3">
        <v>5.2825060991354068E-2</v>
      </c>
      <c r="AI160" s="3">
        <v>-2.7791388465195628E-3</v>
      </c>
      <c r="AJ160" s="3">
        <v>-7.7695045259457325E-4</v>
      </c>
      <c r="AK160" s="3">
        <v>-1.6216216216216231E-2</v>
      </c>
      <c r="AL160" s="3">
        <v>7.1054545416081236E-3</v>
      </c>
      <c r="AM160" s="3">
        <v>3.0766793437344536E-2</v>
      </c>
      <c r="AN160" s="3">
        <v>-8.8013697229361015E-3</v>
      </c>
    </row>
    <row r="161" spans="1:40" x14ac:dyDescent="0.3">
      <c r="A161" s="101">
        <v>44544</v>
      </c>
      <c r="B161" s="3">
        <v>-2.3104703536913945E-2</v>
      </c>
      <c r="C161" s="3">
        <v>2.0254908576386111E-2</v>
      </c>
      <c r="D161" s="3">
        <v>-2.3529358342154225E-2</v>
      </c>
      <c r="E161" s="3">
        <v>1.8518734340954074E-3</v>
      </c>
      <c r="F161" s="3">
        <v>1.2527008944285992E-2</v>
      </c>
      <c r="G161" s="3">
        <v>8.006284931869925E-4</v>
      </c>
      <c r="H161" s="3">
        <v>2.1951078387410288E-3</v>
      </c>
      <c r="I161" s="3">
        <v>-6.1918653610246559E-3</v>
      </c>
      <c r="J161" s="3">
        <v>1.308099134442655E-2</v>
      </c>
      <c r="K161" s="3">
        <v>0</v>
      </c>
      <c r="L161" s="3">
        <v>-1.4793477455388177E-3</v>
      </c>
      <c r="M161" s="3">
        <v>-0.54734993964665857</v>
      </c>
      <c r="N161" s="3">
        <v>1.9405309894470476E-2</v>
      </c>
      <c r="O161" s="3">
        <v>1.0045275438943612E-2</v>
      </c>
      <c r="P161" s="3">
        <v>4.4742731808876659E-3</v>
      </c>
      <c r="Q161" s="3">
        <v>1.8292719640844016E-2</v>
      </c>
      <c r="R161" s="3">
        <v>9.5135875453899874E-5</v>
      </c>
      <c r="S161" s="3">
        <v>7.9309611549209479E-3</v>
      </c>
      <c r="T161" s="3">
        <v>-9.1887868808701346E-3</v>
      </c>
      <c r="U161" s="3">
        <v>1.0287098293782574E-2</v>
      </c>
      <c r="V161" s="3">
        <v>3.5756443210959192E-3</v>
      </c>
      <c r="W161" s="3">
        <v>2.8879097805909373E-2</v>
      </c>
      <c r="X161" s="3">
        <v>-8.7740923415571357E-3</v>
      </c>
      <c r="Y161" s="3">
        <v>3.3023570267859091E-2</v>
      </c>
      <c r="Z161" s="3">
        <v>2.5559105431309924E-2</v>
      </c>
      <c r="AA161" s="3">
        <v>3.4151969825033601E-2</v>
      </c>
      <c r="AB161" s="3">
        <v>-2.471938420688331E-2</v>
      </c>
      <c r="AC161" s="3">
        <v>-1.5448828299182562E-2</v>
      </c>
      <c r="AD161" s="3">
        <v>-1.7345057277156968E-2</v>
      </c>
      <c r="AE161" s="3">
        <v>-4.2527544930434945E-2</v>
      </c>
      <c r="AF161" s="3">
        <v>-1.7713557308482727E-2</v>
      </c>
      <c r="AG161" s="3">
        <v>-6.1823853683668231E-2</v>
      </c>
      <c r="AH161" s="3">
        <v>-5.2644973088770988E-2</v>
      </c>
      <c r="AI161" s="3">
        <v>-1.1749441298951379E-2</v>
      </c>
      <c r="AJ161" s="3">
        <v>-9.6841104414227466E-3</v>
      </c>
      <c r="AK161" s="3">
        <v>3.2967032967032871E-2</v>
      </c>
      <c r="AL161" s="3">
        <v>-1.3494063212227759E-2</v>
      </c>
      <c r="AM161" s="3">
        <v>-3.3047908680779829E-2</v>
      </c>
      <c r="AN161" s="3">
        <v>-2.1584744312921796E-2</v>
      </c>
    </row>
    <row r="162" spans="1:40" x14ac:dyDescent="0.3">
      <c r="A162" s="101">
        <v>44545</v>
      </c>
      <c r="B162" s="3">
        <v>3.69549559730525E-3</v>
      </c>
      <c r="C162" s="3">
        <v>-6.4688313622475145E-3</v>
      </c>
      <c r="D162" s="3">
        <v>-1.4472336128268271E-3</v>
      </c>
      <c r="E162" s="3">
        <v>3.7256076224401823E-2</v>
      </c>
      <c r="F162" s="3">
        <v>1.0238879273651739E-2</v>
      </c>
      <c r="G162" s="3">
        <v>5.760007999999971E-3</v>
      </c>
      <c r="H162" s="3">
        <v>1.8366765176036021E-3</v>
      </c>
      <c r="I162" s="3">
        <v>1.1422586001045065E-2</v>
      </c>
      <c r="J162" s="3">
        <v>1.0781009067552732E-2</v>
      </c>
      <c r="K162" s="3">
        <v>1.0266940451745161E-3</v>
      </c>
      <c r="L162" s="3">
        <v>1.8518734340954074E-3</v>
      </c>
      <c r="M162" s="3">
        <v>7.0181818181818179E-2</v>
      </c>
      <c r="N162" s="3">
        <v>3.6843998284273095E-3</v>
      </c>
      <c r="O162" s="3">
        <v>1.0295675027244943E-2</v>
      </c>
      <c r="P162" s="3">
        <v>-1.7260524346354431E-2</v>
      </c>
      <c r="Q162" s="3">
        <v>9.9799612246947089E-4</v>
      </c>
      <c r="R162" s="3">
        <v>1.9055940210664546E-4</v>
      </c>
      <c r="S162" s="3">
        <v>-1.0366022863148165E-2</v>
      </c>
      <c r="T162" s="3">
        <v>1.2791417398227019E-3</v>
      </c>
      <c r="U162" s="3">
        <v>9.235092580859694E-3</v>
      </c>
      <c r="V162" s="3">
        <v>1.0688815674105793E-2</v>
      </c>
      <c r="W162" s="3">
        <v>-5.7088304980907247E-3</v>
      </c>
      <c r="X162" s="3">
        <v>2.0408213445203521E-2</v>
      </c>
      <c r="Y162" s="3">
        <v>3.1592824631861498E-3</v>
      </c>
      <c r="Z162" s="3">
        <v>1.349948078920031E-2</v>
      </c>
      <c r="AA162" s="3">
        <v>7.3173698161482824E-3</v>
      </c>
      <c r="AB162" s="3">
        <v>1.2363756927753164E-2</v>
      </c>
      <c r="AC162" s="3">
        <v>7.5481482297305559E-3</v>
      </c>
      <c r="AD162" s="3">
        <v>-5.7637113172990867E-3</v>
      </c>
      <c r="AE162" s="3">
        <v>5.4356713828689257E-2</v>
      </c>
      <c r="AF162" s="3">
        <v>1.0655651838198027E-2</v>
      </c>
      <c r="AG162" s="3">
        <v>3.6243933895877677E-2</v>
      </c>
      <c r="AH162" s="3">
        <v>-6.3843540997898813E-3</v>
      </c>
      <c r="AI162" s="3">
        <v>-1.172304456648564E-2</v>
      </c>
      <c r="AJ162" s="3">
        <v>8.0656789092787042E-3</v>
      </c>
      <c r="AK162" s="3">
        <v>5.3191489361702178E-3</v>
      </c>
      <c r="AL162" s="3">
        <v>7.3368858259193316E-3</v>
      </c>
      <c r="AM162" s="3">
        <v>-3.9398635563975435E-3</v>
      </c>
      <c r="AN162" s="3">
        <v>1.0004362163245082E-2</v>
      </c>
    </row>
    <row r="163" spans="1:40" x14ac:dyDescent="0.3">
      <c r="A163" s="101">
        <v>44546</v>
      </c>
      <c r="B163" s="3">
        <v>1.497284807461205E-2</v>
      </c>
      <c r="C163" s="3">
        <v>8.9806450447726238E-3</v>
      </c>
      <c r="D163" s="3">
        <v>-9.6617173385151502E-3</v>
      </c>
      <c r="E163" s="3">
        <v>-2.9423323574303099E-2</v>
      </c>
      <c r="F163" s="3">
        <v>-1.1824360683830746E-2</v>
      </c>
      <c r="G163" s="3">
        <v>6.1684735430442859E-2</v>
      </c>
      <c r="H163" s="3">
        <v>-5.1865725399802178E-4</v>
      </c>
      <c r="I163" s="3">
        <v>-8.7268843194394236E-3</v>
      </c>
      <c r="J163" s="3">
        <v>-4.588815053222812E-3</v>
      </c>
      <c r="K163" s="3">
        <v>4.102564102564015E-3</v>
      </c>
      <c r="L163" s="3">
        <v>3.7256076224401823E-2</v>
      </c>
      <c r="M163" s="3">
        <v>0.13625552157662249</v>
      </c>
      <c r="N163" s="3">
        <v>8.1574057852757016E-3</v>
      </c>
      <c r="O163" s="3">
        <v>1.3726097951687676E-2</v>
      </c>
      <c r="P163" s="3">
        <v>-5.0992067988667048E-3</v>
      </c>
      <c r="Q163" s="3">
        <v>1.9940135506644113E-2</v>
      </c>
      <c r="R163" s="3">
        <v>-2.5712402482295504E-3</v>
      </c>
      <c r="S163" s="3">
        <v>1.1162595562512645E-2</v>
      </c>
      <c r="T163" s="3">
        <v>1.5969167934119625E-3</v>
      </c>
      <c r="U163" s="3">
        <v>-1.3608558286832289E-2</v>
      </c>
      <c r="V163" s="3">
        <v>-3.5252241699855968E-3</v>
      </c>
      <c r="W163" s="3">
        <v>-5.1355700520089198E-2</v>
      </c>
      <c r="X163" s="3">
        <v>-5.3012289156627338E-3</v>
      </c>
      <c r="Y163" s="3">
        <v>-1.7615047883314802E-2</v>
      </c>
      <c r="Z163" s="3">
        <v>7.1721311475410133E-3</v>
      </c>
      <c r="AA163" s="3">
        <v>2.8390302093033348E-2</v>
      </c>
      <c r="AB163" s="3">
        <v>-3.3661464822805326E-2</v>
      </c>
      <c r="AC163" s="3">
        <v>-2.8268823012625729E-2</v>
      </c>
      <c r="AD163" s="3">
        <v>2.3188344208562237E-2</v>
      </c>
      <c r="AE163" s="3">
        <v>2.3181631249690939E-2</v>
      </c>
      <c r="AF163" s="3">
        <v>8.6780399141730705E-2</v>
      </c>
      <c r="AG163" s="3">
        <v>2.1197614138971223E-2</v>
      </c>
      <c r="AH163" s="3">
        <v>1.085975938061513E-2</v>
      </c>
      <c r="AI163" s="3">
        <v>5.4834692261675408E-3</v>
      </c>
      <c r="AJ163" s="3">
        <v>7.930424115796763E-3</v>
      </c>
      <c r="AK163" s="3">
        <v>-2.1164021164021066E-2</v>
      </c>
      <c r="AL163" s="3">
        <v>-3.2338649273685452E-3</v>
      </c>
      <c r="AM163" s="3">
        <v>-3.8997692910853157E-2</v>
      </c>
      <c r="AN163" s="3">
        <v>-2.4896618781508728E-2</v>
      </c>
    </row>
    <row r="164" spans="1:40" x14ac:dyDescent="0.3">
      <c r="A164" s="101">
        <v>44547</v>
      </c>
      <c r="B164" s="3">
        <v>-2.4182071927063222E-3</v>
      </c>
      <c r="C164" s="3">
        <v>9.3458270131277794E-3</v>
      </c>
      <c r="D164" s="3">
        <v>0</v>
      </c>
      <c r="E164" s="3">
        <v>-4.080586593501392E-4</v>
      </c>
      <c r="F164" s="3">
        <v>-2.1367498048656036E-2</v>
      </c>
      <c r="G164" s="3">
        <v>-3.4950427348173323E-2</v>
      </c>
      <c r="H164" s="3">
        <v>-2.2306627843284733E-3</v>
      </c>
      <c r="I164" s="3">
        <v>2.5894023428926429E-3</v>
      </c>
      <c r="J164" s="3">
        <v>-4.983710122984643E-3</v>
      </c>
      <c r="K164" s="3">
        <v>0</v>
      </c>
      <c r="L164" s="3">
        <v>-2.9423323574303099E-2</v>
      </c>
      <c r="M164" s="3">
        <v>-0.23066188197767146</v>
      </c>
      <c r="N164" s="3">
        <v>-7.8891642112343535E-3</v>
      </c>
      <c r="O164" s="3">
        <v>-1.5660309888751854E-2</v>
      </c>
      <c r="P164" s="3">
        <v>-1.5945217308953298E-2</v>
      </c>
      <c r="Q164" s="3">
        <v>1.1730291845710526E-2</v>
      </c>
      <c r="R164" s="3">
        <v>9.1655612282621757E-3</v>
      </c>
      <c r="S164" s="3">
        <v>-2.7176200737398667E-2</v>
      </c>
      <c r="T164" s="3">
        <v>-6.0586795804435803E-3</v>
      </c>
      <c r="U164" s="3">
        <v>-8.8011466918701022E-3</v>
      </c>
      <c r="V164" s="3">
        <v>-3.5376953391010411E-3</v>
      </c>
      <c r="W164" s="3">
        <v>-8.7425589369718067E-3</v>
      </c>
      <c r="X164" s="3">
        <v>-9.2053539051683581E-3</v>
      </c>
      <c r="Y164" s="3">
        <v>-1.135620560472426E-2</v>
      </c>
      <c r="Z164" s="3">
        <v>-1.1190233977619474E-2</v>
      </c>
      <c r="AA164" s="3">
        <v>7.9446562498725046E-2</v>
      </c>
      <c r="AB164" s="3">
        <v>3.4123170474977871E-2</v>
      </c>
      <c r="AC164" s="3">
        <v>2.0622050211705101E-2</v>
      </c>
      <c r="AD164" s="3">
        <v>-2.4786840788583418E-3</v>
      </c>
      <c r="AE164" s="3">
        <v>0.1059629559074049</v>
      </c>
      <c r="AF164" s="3">
        <v>-1.9902265721597804E-3</v>
      </c>
      <c r="AG164" s="3">
        <v>-1.4011416709911758E-2</v>
      </c>
      <c r="AH164" s="3">
        <v>-4.2077019557678418E-2</v>
      </c>
      <c r="AI164" s="3">
        <v>-8.2360176386014946E-3</v>
      </c>
      <c r="AJ164" s="3">
        <v>1.8264681400174298E-2</v>
      </c>
      <c r="AK164" s="3">
        <v>3.2432432432432337E-2</v>
      </c>
      <c r="AL164" s="3">
        <v>2.9943120863609382E-2</v>
      </c>
      <c r="AM164" s="3">
        <v>1.6783602405314894E-2</v>
      </c>
      <c r="AN164" s="3">
        <v>7.5771318612609809E-3</v>
      </c>
    </row>
    <row r="165" spans="1:40" x14ac:dyDescent="0.3">
      <c r="A165" s="101">
        <v>44550</v>
      </c>
      <c r="B165" s="3">
        <v>-1.4546827598639755E-3</v>
      </c>
      <c r="C165" s="3">
        <v>-1.4770726681305831E-2</v>
      </c>
      <c r="D165" s="3">
        <v>-1.7073083201023687E-2</v>
      </c>
      <c r="E165" s="3">
        <v>0</v>
      </c>
      <c r="F165" s="3">
        <v>3.14410472519965E-2</v>
      </c>
      <c r="G165" s="3">
        <v>1.5254999907906866E-2</v>
      </c>
      <c r="H165" s="3">
        <v>-1.6794461078384339E-3</v>
      </c>
      <c r="I165" s="3">
        <v>-1.3946299304915463E-2</v>
      </c>
      <c r="J165" s="3">
        <v>-1.8784436052504878E-3</v>
      </c>
      <c r="K165" s="3">
        <v>-1.0214504596526852E-3</v>
      </c>
      <c r="L165" s="3">
        <v>-4.080586593501392E-4</v>
      </c>
      <c r="M165" s="3">
        <v>-0.11194610002591344</v>
      </c>
      <c r="N165" s="3">
        <v>-1.1418069503947159E-2</v>
      </c>
      <c r="O165" s="3">
        <v>4.0989110893638039E-3</v>
      </c>
      <c r="P165" s="3">
        <v>-2.9513945051276275E-2</v>
      </c>
      <c r="Q165" s="3">
        <v>-6.763349057153074E-3</v>
      </c>
      <c r="R165" s="3">
        <v>2.3750244974638873E-2</v>
      </c>
      <c r="S165" s="3">
        <v>0</v>
      </c>
      <c r="T165" s="3">
        <v>-1.6040569744186072E-3</v>
      </c>
      <c r="U165" s="3">
        <v>-1.7518623191523346E-2</v>
      </c>
      <c r="V165" s="3">
        <v>2.3312908946411619E-2</v>
      </c>
      <c r="W165" s="3">
        <v>-1.3567363016871218E-3</v>
      </c>
      <c r="X165" s="3">
        <v>7.3349385166289159E-3</v>
      </c>
      <c r="Y165" s="3">
        <v>4.781588427286469E-3</v>
      </c>
      <c r="Z165" s="3">
        <v>-1.2345679012345781E-2</v>
      </c>
      <c r="AA165" s="3">
        <v>7.8402994182608779E-2</v>
      </c>
      <c r="AB165" s="3">
        <v>8.6311339499128802E-3</v>
      </c>
      <c r="AC165" s="3">
        <v>-4.3535872722180353E-3</v>
      </c>
      <c r="AD165" s="3">
        <v>3.5491876445295023E-4</v>
      </c>
      <c r="AE165" s="3">
        <v>5.2308248383099346E-2</v>
      </c>
      <c r="AF165" s="3">
        <v>-1.4952103820252477E-3</v>
      </c>
      <c r="AG165" s="3">
        <v>1.210526315789476E-2</v>
      </c>
      <c r="AH165" s="3">
        <v>1.2149567230149738E-2</v>
      </c>
      <c r="AI165" s="3">
        <v>1.5991681627184735E-2</v>
      </c>
      <c r="AJ165" s="3">
        <v>9.6586665246665149E-3</v>
      </c>
      <c r="AK165" s="3">
        <v>5.2356020942408424E-3</v>
      </c>
      <c r="AL165" s="3">
        <v>1.1167928006671783E-2</v>
      </c>
      <c r="AM165" s="3">
        <v>2.9672010758552358E-3</v>
      </c>
      <c r="AN165" s="3">
        <v>6.49551564126403E-3</v>
      </c>
    </row>
    <row r="166" spans="1:40" x14ac:dyDescent="0.3">
      <c r="A166" s="101">
        <v>44551</v>
      </c>
      <c r="B166" s="3">
        <v>0</v>
      </c>
      <c r="C166" s="3">
        <v>-6.8439139429908652E-3</v>
      </c>
      <c r="D166" s="3">
        <v>-1.9851120998999612E-2</v>
      </c>
      <c r="E166" s="3">
        <v>-2.2490714444814937E-2</v>
      </c>
      <c r="F166" s="3">
        <v>-7.7053375184071432E-2</v>
      </c>
      <c r="G166" s="3">
        <v>3.8233609095023168E-3</v>
      </c>
      <c r="H166" s="3">
        <v>-1.7256848472570522E-3</v>
      </c>
      <c r="I166" s="3">
        <v>-2.5667855550338649E-2</v>
      </c>
      <c r="J166" s="3">
        <v>7.5272981386094624E-3</v>
      </c>
      <c r="K166" s="3">
        <v>0</v>
      </c>
      <c r="L166" s="3">
        <v>0</v>
      </c>
      <c r="M166" s="3">
        <v>0.37948643128100379</v>
      </c>
      <c r="N166" s="3">
        <v>-2.3718059577784983E-3</v>
      </c>
      <c r="O166" s="3">
        <v>1.2454792669808709E-3</v>
      </c>
      <c r="P166" s="3">
        <v>0</v>
      </c>
      <c r="Q166" s="3">
        <v>0</v>
      </c>
      <c r="R166" s="3">
        <v>-2.9958311056249409E-2</v>
      </c>
      <c r="S166" s="3">
        <v>-6.680615734505093E-3</v>
      </c>
      <c r="T166" s="3">
        <v>-6.4271855733481851E-4</v>
      </c>
      <c r="U166" s="3">
        <v>8.3048104382666237E-3</v>
      </c>
      <c r="V166" s="3">
        <v>-1.4388577601213351E-2</v>
      </c>
      <c r="W166" s="3">
        <v>-2.9212101866542459E-3</v>
      </c>
      <c r="X166" s="3">
        <v>6.0679610177679366E-3</v>
      </c>
      <c r="Y166" s="3">
        <v>-7.9860296690612911E-3</v>
      </c>
      <c r="Z166" s="3">
        <v>3.1250000000001186E-3</v>
      </c>
      <c r="AA166" s="3">
        <v>-7.8214117791151824E-2</v>
      </c>
      <c r="AB166" s="3">
        <v>-2.3248807791285991E-2</v>
      </c>
      <c r="AC166" s="3">
        <v>-4.0101695703136084E-2</v>
      </c>
      <c r="AD166" s="3">
        <v>-1.0645656722149763E-3</v>
      </c>
      <c r="AE166" s="3">
        <v>1.0021797283819843E-2</v>
      </c>
      <c r="AF166" s="3">
        <v>2.4962445472842841E-2</v>
      </c>
      <c r="AG166" s="3">
        <v>-5.2007280291206648E-4</v>
      </c>
      <c r="AH166" s="3">
        <v>-7.9409458993876924E-3</v>
      </c>
      <c r="AI166" s="3">
        <v>-1.778326695658133E-2</v>
      </c>
      <c r="AJ166" s="3">
        <v>4.782872881188352E-3</v>
      </c>
      <c r="AK166" s="3">
        <v>2.6041666666666692E-2</v>
      </c>
      <c r="AL166" s="3">
        <v>-2.2404679779483662E-2</v>
      </c>
      <c r="AM166" s="3">
        <v>-2.2139475181890352E-2</v>
      </c>
      <c r="AN166" s="3">
        <v>-2.1519465281662244E-2</v>
      </c>
    </row>
    <row r="167" spans="1:40" x14ac:dyDescent="0.3">
      <c r="A167" s="101">
        <v>44552</v>
      </c>
      <c r="B167" s="3">
        <v>5.0984418061706957E-3</v>
      </c>
      <c r="C167" s="3">
        <v>-2.4853137032140597E-2</v>
      </c>
      <c r="D167" s="3">
        <v>-1.5189941057027492E-2</v>
      </c>
      <c r="E167" s="3">
        <v>-8.5185128690901408E-3</v>
      </c>
      <c r="F167" s="3">
        <v>-1.6972449714780818E-2</v>
      </c>
      <c r="G167" s="3">
        <v>-5.8654658936795013E-3</v>
      </c>
      <c r="H167" s="3">
        <v>-2.8956094732454896E-3</v>
      </c>
      <c r="I167" s="3">
        <v>-1.0215132295555368E-2</v>
      </c>
      <c r="J167" s="3">
        <v>-1.3696947766134325E-2</v>
      </c>
      <c r="K167" s="3">
        <v>1.2269938650306851E-2</v>
      </c>
      <c r="L167" s="3">
        <v>-2.2490714444814937E-2</v>
      </c>
      <c r="M167" s="3">
        <v>-0.20137493389740879</v>
      </c>
      <c r="N167" s="3">
        <v>9.9233817192346668E-3</v>
      </c>
      <c r="O167" s="3">
        <v>-1.2162428055720459E-2</v>
      </c>
      <c r="P167" s="3">
        <v>2.3255813953488406E-2</v>
      </c>
      <c r="Q167" s="3">
        <v>2.2373595878656512E-2</v>
      </c>
      <c r="R167" s="3">
        <v>5.2997771470311143E-2</v>
      </c>
      <c r="S167" s="3">
        <v>0</v>
      </c>
      <c r="T167" s="3">
        <v>-9.967830088459622E-3</v>
      </c>
      <c r="U167" s="3">
        <v>1.3323659072788947E-2</v>
      </c>
      <c r="V167" s="3">
        <v>1.5815166971327146E-2</v>
      </c>
      <c r="W167" s="3">
        <v>2.2007246910751514E-2</v>
      </c>
      <c r="X167" s="3">
        <v>-1.0856477422039153E-2</v>
      </c>
      <c r="Y167" s="3">
        <v>1.3343614835996789E-2</v>
      </c>
      <c r="Z167" s="3">
        <v>1.7653167185877457E-2</v>
      </c>
      <c r="AA167" s="3">
        <v>4.7152948079792721E-2</v>
      </c>
      <c r="AB167" s="3">
        <v>-1.3954206908916287E-3</v>
      </c>
      <c r="AC167" s="3">
        <v>-2.2387478934550255E-2</v>
      </c>
      <c r="AD167" s="3">
        <v>-5.328500900217221E-3</v>
      </c>
      <c r="AE167" s="3">
        <v>3.0163976506784741E-2</v>
      </c>
      <c r="AF167" s="3">
        <v>1.7535166964918386E-2</v>
      </c>
      <c r="AG167" s="3">
        <v>7.8044749117831417E-3</v>
      </c>
      <c r="AH167" s="3">
        <v>-6.8875659076288159E-3</v>
      </c>
      <c r="AI167" s="3">
        <v>-1.0795680098634783E-2</v>
      </c>
      <c r="AJ167" s="3">
        <v>-1.3600828399130351E-2</v>
      </c>
      <c r="AK167" s="3">
        <v>4.5685279187817299E-2</v>
      </c>
      <c r="AL167" s="3">
        <v>-1.1416636608139769E-2</v>
      </c>
      <c r="AM167" s="3">
        <v>-9.7175033894910581E-3</v>
      </c>
      <c r="AN167" s="3">
        <v>2.1257976220549202E-3</v>
      </c>
    </row>
    <row r="168" spans="1:40" x14ac:dyDescent="0.3">
      <c r="A168" s="101">
        <v>44553</v>
      </c>
      <c r="B168" s="3">
        <v>2.2222241701436957E-2</v>
      </c>
      <c r="C168" s="3">
        <v>-2.7803530434901438E-2</v>
      </c>
      <c r="D168" s="3">
        <v>-2.8277675867782785E-2</v>
      </c>
      <c r="E168" s="3">
        <v>-8.7601110214668952E-3</v>
      </c>
      <c r="F168" s="3">
        <v>-2.2865144478744028E-2</v>
      </c>
      <c r="G168" s="3">
        <v>-2.2986857860358428E-4</v>
      </c>
      <c r="H168" s="3">
        <v>3.565509420795488E-3</v>
      </c>
      <c r="I168" s="3">
        <v>-2.9331758285597479E-2</v>
      </c>
      <c r="J168" s="3">
        <v>7.8274173568089848E-3</v>
      </c>
      <c r="K168" s="3">
        <v>0</v>
      </c>
      <c r="L168" s="3">
        <v>-8.5185128690901408E-3</v>
      </c>
      <c r="M168" s="3">
        <v>9.098132697655939E-2</v>
      </c>
      <c r="N168" s="3">
        <v>-3.6889448644001352E-4</v>
      </c>
      <c r="O168" s="3">
        <v>6.6457895511402368E-3</v>
      </c>
      <c r="P168" s="3">
        <v>5.8275058275059103E-3</v>
      </c>
      <c r="Q168" s="3">
        <v>-4.7574530910171383E-3</v>
      </c>
      <c r="R168" s="3">
        <v>1.8376047145182095E-2</v>
      </c>
      <c r="S168" s="3">
        <v>3.1774363733006017E-2</v>
      </c>
      <c r="T168" s="3">
        <v>2.1110753972651376E-2</v>
      </c>
      <c r="U168" s="3">
        <v>-3.0839111758664349E-2</v>
      </c>
      <c r="V168" s="3">
        <v>2.874249387297351E-2</v>
      </c>
      <c r="W168" s="3">
        <v>-2.666767953699301E-3</v>
      </c>
      <c r="X168" s="3">
        <v>2.4390243902439025E-2</v>
      </c>
      <c r="Y168" s="3">
        <v>1.1535504470211629E-2</v>
      </c>
      <c r="Z168" s="3">
        <v>-8.1632653061224549E-3</v>
      </c>
      <c r="AA168" s="3">
        <v>5.8509535625224209E-3</v>
      </c>
      <c r="AB168" s="3">
        <v>1.6226709130510841E-2</v>
      </c>
      <c r="AC168" s="3">
        <v>2.1904616223737379E-3</v>
      </c>
      <c r="AD168" s="3">
        <v>1.0713338449165829E-3</v>
      </c>
      <c r="AE168" s="3">
        <v>-1.6109231753754977E-2</v>
      </c>
      <c r="AF168" s="3">
        <v>3.2072902761105776E-2</v>
      </c>
      <c r="AG168" s="3">
        <v>7.2276196578411689E-3</v>
      </c>
      <c r="AH168" s="3">
        <v>0</v>
      </c>
      <c r="AI168" s="3">
        <v>8.9807769617668096E-3</v>
      </c>
      <c r="AJ168" s="3">
        <v>-1.3857219210102068E-2</v>
      </c>
      <c r="AK168" s="3">
        <v>-2.9126213592233035E-2</v>
      </c>
      <c r="AL168" s="3">
        <v>4.4945979730851241E-3</v>
      </c>
      <c r="AM168" s="3">
        <v>2.7395061203844204E-2</v>
      </c>
      <c r="AN168" s="3">
        <v>1.4438408642869839E-2</v>
      </c>
    </row>
    <row r="169" spans="1:40" x14ac:dyDescent="0.3">
      <c r="A169" s="101">
        <v>44554</v>
      </c>
      <c r="B169" s="3">
        <v>-2.3865844643936925E-2</v>
      </c>
      <c r="C169" s="3">
        <v>4.7664457588734105E-3</v>
      </c>
      <c r="D169" s="3">
        <v>-3.7037116578663272E-2</v>
      </c>
      <c r="E169" s="3">
        <v>8.3701573386288919E-3</v>
      </c>
      <c r="F169" s="3">
        <v>2.9608503503507293E-2</v>
      </c>
      <c r="G169" s="3">
        <v>3.9739392692574239E-2</v>
      </c>
      <c r="H169" s="3">
        <v>-1.4559045621963481E-3</v>
      </c>
      <c r="I169" s="3">
        <v>3.3016055012999451E-2</v>
      </c>
      <c r="J169" s="3">
        <v>4.6346956177191964E-3</v>
      </c>
      <c r="K169" s="3">
        <v>0</v>
      </c>
      <c r="L169" s="3">
        <v>-8.7601110214668952E-3</v>
      </c>
      <c r="M169" s="3">
        <v>-0.41090070405438212</v>
      </c>
      <c r="N169" s="3">
        <v>1.8982828822995219E-3</v>
      </c>
      <c r="O169" s="3">
        <v>3.474688506854388E-3</v>
      </c>
      <c r="P169" s="3">
        <v>-1.3325550405562162E-2</v>
      </c>
      <c r="Q169" s="3">
        <v>2.9636702094988886E-2</v>
      </c>
      <c r="R169" s="3">
        <v>5.3332639392257844E-3</v>
      </c>
      <c r="S169" s="3">
        <v>0</v>
      </c>
      <c r="T169" s="3">
        <v>3.8804092787375698E-2</v>
      </c>
      <c r="U169" s="3">
        <v>1.430687915237472E-2</v>
      </c>
      <c r="V169" s="3">
        <v>-3.4924065133097324E-3</v>
      </c>
      <c r="W169" s="3">
        <v>-1.4035863432125162E-3</v>
      </c>
      <c r="X169" s="3">
        <v>0</v>
      </c>
      <c r="Y169" s="3">
        <v>-6.1860894949786411E-3</v>
      </c>
      <c r="Z169" s="3">
        <v>-1.0288065843621545E-2</v>
      </c>
      <c r="AA169" s="3">
        <v>-1.1013525841840061E-2</v>
      </c>
      <c r="AB169" s="3">
        <v>-1.5127064178474208E-2</v>
      </c>
      <c r="AC169" s="3">
        <v>-2.3843586170098501E-2</v>
      </c>
      <c r="AD169" s="3">
        <v>7.848717658583651E-3</v>
      </c>
      <c r="AE169" s="3">
        <v>2.413114257271938E-2</v>
      </c>
      <c r="AF169" s="3">
        <v>6.6790266916195121E-2</v>
      </c>
      <c r="AG169" s="3">
        <v>8.7134751409533473E-2</v>
      </c>
      <c r="AH169" s="3">
        <v>1.0777912620667605E-2</v>
      </c>
      <c r="AI169" s="3">
        <v>-9.8021085580983873E-3</v>
      </c>
      <c r="AJ169" s="3">
        <v>-1.2164416287207689E-2</v>
      </c>
      <c r="AK169" s="3">
        <v>7.4999999999999956E-2</v>
      </c>
      <c r="AL169" s="3">
        <v>-8.1053122651011979E-3</v>
      </c>
      <c r="AM169" s="3">
        <v>-1.364742093616104E-2</v>
      </c>
      <c r="AN169" s="3">
        <v>-1.2135545206420587E-2</v>
      </c>
    </row>
    <row r="170" spans="1:40" x14ac:dyDescent="0.3">
      <c r="A170" s="101">
        <v>44557</v>
      </c>
      <c r="B170" s="3">
        <v>-4.840896107170693E-4</v>
      </c>
      <c r="C170" s="3">
        <v>1.1859574430740724E-2</v>
      </c>
      <c r="D170" s="3">
        <v>-1.3736234633052687E-2</v>
      </c>
      <c r="E170" s="3">
        <v>-3.6573535431529795E-2</v>
      </c>
      <c r="F170" s="3">
        <v>-3.5250530712831185E-2</v>
      </c>
      <c r="G170" s="3">
        <v>2.0639760635123654E-3</v>
      </c>
      <c r="H170" s="3">
        <v>-4.4973976751360275E-4</v>
      </c>
      <c r="I170" s="3">
        <v>1.4626295031914587E-2</v>
      </c>
      <c r="J170" s="3">
        <v>-5.8925570497598079E-3</v>
      </c>
      <c r="K170" s="3">
        <v>0</v>
      </c>
      <c r="L170" s="3">
        <v>8.3701573386288919E-3</v>
      </c>
      <c r="M170" s="3">
        <v>4.8423655470842777E-2</v>
      </c>
      <c r="N170" s="3">
        <v>-1.1578269825806603E-3</v>
      </c>
      <c r="O170" s="3">
        <v>-5.8864073296955675E-3</v>
      </c>
      <c r="P170" s="3">
        <v>-3.5233115958124271E-3</v>
      </c>
      <c r="Q170" s="3">
        <v>-2.135561229378637E-2</v>
      </c>
      <c r="R170" s="3">
        <v>-4.7745289759588694E-3</v>
      </c>
      <c r="S170" s="3">
        <v>-5.2464064078526322E-3</v>
      </c>
      <c r="T170" s="3">
        <v>-3.766078851006982E-2</v>
      </c>
      <c r="U170" s="3">
        <v>2.1886831465094858E-3</v>
      </c>
      <c r="V170" s="3">
        <v>1.2850465823514384E-2</v>
      </c>
      <c r="W170" s="3">
        <v>-1.6667922773868193E-2</v>
      </c>
      <c r="X170" s="3">
        <v>-1.0714309523809532E-2</v>
      </c>
      <c r="Y170" s="3">
        <v>-5.791648173207058E-3</v>
      </c>
      <c r="Z170" s="3">
        <v>7.2765072765073064E-3</v>
      </c>
      <c r="AA170" s="3">
        <v>-2.2295851731913834E-2</v>
      </c>
      <c r="AB170" s="3">
        <v>-1.3730690022623553E-2</v>
      </c>
      <c r="AC170" s="3">
        <v>2.3286117990905963E-2</v>
      </c>
      <c r="AD170" s="3">
        <v>-3.0088526964404987E-2</v>
      </c>
      <c r="AE170" s="3">
        <v>-2.4279508718911234E-2</v>
      </c>
      <c r="AF170" s="3">
        <v>-1.5217427492776044E-2</v>
      </c>
      <c r="AG170" s="3">
        <v>7.543706154818708E-3</v>
      </c>
      <c r="AH170" s="3">
        <v>-1.7617016430559091E-2</v>
      </c>
      <c r="AI170" s="3">
        <v>-3.3566649836944296E-2</v>
      </c>
      <c r="AJ170" s="3">
        <v>-4.1047371606409725E-3</v>
      </c>
      <c r="AK170" s="3">
        <v>-4.1860465116279007E-2</v>
      </c>
      <c r="AL170" s="3">
        <v>-2.2928776692224839E-3</v>
      </c>
      <c r="AM170" s="3">
        <v>-5.7500580726168498E-3</v>
      </c>
      <c r="AN170" s="3">
        <v>-7.4246017571838784E-3</v>
      </c>
    </row>
    <row r="171" spans="1:40" x14ac:dyDescent="0.3">
      <c r="A171" s="101">
        <v>44558</v>
      </c>
      <c r="B171" s="3">
        <v>2.6883011643414736E-2</v>
      </c>
      <c r="C171" s="3">
        <v>-3.961549913546563E-2</v>
      </c>
      <c r="D171" s="3">
        <v>1.9498508822833469E-2</v>
      </c>
      <c r="E171" s="3">
        <v>3.3107328673655886E-2</v>
      </c>
      <c r="F171" s="3">
        <v>-9.6153737379422732E-3</v>
      </c>
      <c r="G171" s="3">
        <v>4.2702606982812127E-2</v>
      </c>
      <c r="H171" s="3">
        <v>-4.1728503470722352E-4</v>
      </c>
      <c r="I171" s="3">
        <v>5.3390091106266246E-3</v>
      </c>
      <c r="J171" s="3">
        <v>6.3049694631301398E-4</v>
      </c>
      <c r="K171" s="3">
        <v>0</v>
      </c>
      <c r="L171" s="3">
        <v>-3.6573535431529795E-2</v>
      </c>
      <c r="M171" s="3">
        <v>0.58097484276729561</v>
      </c>
      <c r="N171" s="3">
        <v>-3.3720389123539016E-3</v>
      </c>
      <c r="O171" s="3">
        <v>2.0897854051377613E-3</v>
      </c>
      <c r="P171" s="3">
        <v>8.8392462486295408E-3</v>
      </c>
      <c r="Q171" s="3">
        <v>-3.8899402282882259E-2</v>
      </c>
      <c r="R171" s="3">
        <v>2.7896250736611387E-2</v>
      </c>
      <c r="S171" s="3">
        <v>1.6890717824202758E-2</v>
      </c>
      <c r="T171" s="3">
        <v>-6.363150596395943E-4</v>
      </c>
      <c r="U171" s="3">
        <v>-6.7944048800677483E-3</v>
      </c>
      <c r="V171" s="3">
        <v>-3.3448704478701893E-2</v>
      </c>
      <c r="W171" s="3">
        <v>-9.8705948808326307E-3</v>
      </c>
      <c r="X171" s="3">
        <v>-2.5270734663555582E-2</v>
      </c>
      <c r="Y171" s="3">
        <v>2.1777494296834573E-3</v>
      </c>
      <c r="Z171" s="3">
        <v>-5.1599587203301272E-3</v>
      </c>
      <c r="AA171" s="3">
        <v>2.2259629585976465E-2</v>
      </c>
      <c r="AB171" s="3">
        <v>5.4269966788958422E-3</v>
      </c>
      <c r="AC171" s="3">
        <v>3.8749224066083596E-2</v>
      </c>
      <c r="AD171" s="3">
        <v>2.9197582692063696E-3</v>
      </c>
      <c r="AE171" s="3">
        <v>6.3286866910219022E-2</v>
      </c>
      <c r="AF171" s="3">
        <v>-3.4216154946526717E-2</v>
      </c>
      <c r="AG171" s="3">
        <v>-1.4974355873918715E-2</v>
      </c>
      <c r="AH171" s="3">
        <v>-2.5011867394692966E-2</v>
      </c>
      <c r="AI171" s="3">
        <v>2.6078732336205467E-2</v>
      </c>
      <c r="AJ171" s="3">
        <v>-1.0304145939865336E-2</v>
      </c>
      <c r="AK171" s="3">
        <v>7.7669902912621422E-2</v>
      </c>
      <c r="AL171" s="3">
        <v>3.1488453879161757E-2</v>
      </c>
      <c r="AM171" s="3">
        <v>7.610703072979408E-3</v>
      </c>
      <c r="AN171" s="3">
        <v>5.3185151447924369E-3</v>
      </c>
    </row>
    <row r="172" spans="1:40" x14ac:dyDescent="0.3">
      <c r="A172" s="101">
        <v>44559</v>
      </c>
      <c r="B172" s="3">
        <v>2.4999915022253533E-2</v>
      </c>
      <c r="C172" s="3">
        <v>1.5865179588293896E-2</v>
      </c>
      <c r="D172" s="3">
        <v>-3.5519108259946294E-2</v>
      </c>
      <c r="E172" s="3">
        <v>5.334043704554983E-3</v>
      </c>
      <c r="F172" s="3">
        <v>-3.0194191674898226E-2</v>
      </c>
      <c r="G172" s="3">
        <v>5.1853718009585627E-3</v>
      </c>
      <c r="H172" s="3">
        <v>-4.3415760356619783E-3</v>
      </c>
      <c r="I172" s="3">
        <v>-5.8417699856317838E-3</v>
      </c>
      <c r="J172" s="3">
        <v>-8.1924500561567585E-3</v>
      </c>
      <c r="K172" s="3">
        <v>0</v>
      </c>
      <c r="L172" s="3">
        <v>3.3107328673655886E-2</v>
      </c>
      <c r="M172" s="3">
        <v>0.68846345101939332</v>
      </c>
      <c r="N172" s="3">
        <v>1.4273705586110033E-2</v>
      </c>
      <c r="O172" s="3">
        <v>-1.1748226589571134E-2</v>
      </c>
      <c r="P172" s="3">
        <v>-4.0887906490192194E-2</v>
      </c>
      <c r="Q172" s="3">
        <v>-2.1717610666907243E-2</v>
      </c>
      <c r="R172" s="3">
        <v>-2.3336180389743394E-3</v>
      </c>
      <c r="S172" s="3">
        <v>-6.7797029776427205E-3</v>
      </c>
      <c r="T172" s="3">
        <v>9.2327325256398377E-3</v>
      </c>
      <c r="U172" s="3">
        <v>2.4431224139528024E-3</v>
      </c>
      <c r="V172" s="3">
        <v>3.5799250778441555E-3</v>
      </c>
      <c r="W172" s="3">
        <v>3.7814482160704399E-3</v>
      </c>
      <c r="X172" s="3">
        <v>9.1357777777777774E-3</v>
      </c>
      <c r="Y172" s="3">
        <v>6.6275585981360229E-3</v>
      </c>
      <c r="Z172" s="3">
        <v>-3.1120331950208646E-3</v>
      </c>
      <c r="AA172" s="3">
        <v>6.9859949995216154E-3</v>
      </c>
      <c r="AB172" s="3">
        <v>3.2856211886566559E-2</v>
      </c>
      <c r="AC172" s="3">
        <v>2.4435100932169197E-2</v>
      </c>
      <c r="AD172" s="3">
        <v>1.7103334271025027E-2</v>
      </c>
      <c r="AE172" s="3">
        <v>-1.2991235097276175E-2</v>
      </c>
      <c r="AF172" s="3">
        <v>-8.9144093176676577E-3</v>
      </c>
      <c r="AG172" s="3">
        <v>2.8978671210388204E-2</v>
      </c>
      <c r="AH172" s="3">
        <v>4.0658196331723441E-2</v>
      </c>
      <c r="AI172" s="3">
        <v>-4.6471271149986114E-3</v>
      </c>
      <c r="AJ172" s="3">
        <v>2.5346475046724076E-2</v>
      </c>
      <c r="AK172" s="3">
        <v>0.12612612612612603</v>
      </c>
      <c r="AL172" s="3">
        <v>5.3627888876047157E-2</v>
      </c>
      <c r="AM172" s="3">
        <v>0.16854343594471122</v>
      </c>
      <c r="AN172" s="3">
        <v>4.5700484972909856E-2</v>
      </c>
    </row>
    <row r="173" spans="1:40" x14ac:dyDescent="0.3">
      <c r="A173" s="101">
        <v>44560</v>
      </c>
      <c r="B173" s="3">
        <v>-1.5646618704321928E-2</v>
      </c>
      <c r="C173" s="3">
        <v>7.9289565569590492E-3</v>
      </c>
      <c r="D173" s="3">
        <v>5.6659406251967038E-3</v>
      </c>
      <c r="E173" s="3">
        <v>-2.8381314844802073E-2</v>
      </c>
      <c r="F173" s="3">
        <v>2.3626064145429584E-2</v>
      </c>
      <c r="G173" s="3">
        <v>8.7381424713759651E-3</v>
      </c>
      <c r="H173" s="3">
        <v>-1.1557532448592297E-3</v>
      </c>
      <c r="I173" s="3">
        <v>-8.0128194603970564E-3</v>
      </c>
      <c r="J173" s="3">
        <v>2.033251726226557E-3</v>
      </c>
      <c r="K173" s="3">
        <v>-5.0505050505051221E-3</v>
      </c>
      <c r="L173" s="3">
        <v>5.334043704554983E-3</v>
      </c>
      <c r="M173" s="3">
        <v>-0.15513179207774996</v>
      </c>
      <c r="N173" s="3">
        <v>-2.1369835767494936E-2</v>
      </c>
      <c r="O173" s="3">
        <v>4.9943181313029808E-3</v>
      </c>
      <c r="P173" s="3">
        <v>-4.6894031668696788E-2</v>
      </c>
      <c r="Q173" s="3">
        <v>7.7699267641816228E-2</v>
      </c>
      <c r="R173" s="3">
        <v>1.1955293656589662E-2</v>
      </c>
      <c r="S173" s="3">
        <v>0</v>
      </c>
      <c r="T173" s="3">
        <v>9.4634298974917072E-4</v>
      </c>
      <c r="U173" s="3">
        <v>1.7060656937890734E-3</v>
      </c>
      <c r="V173" s="3">
        <v>1.1890614722701727E-2</v>
      </c>
      <c r="W173" s="3">
        <v>3.0136860855206178E-2</v>
      </c>
      <c r="X173" s="3">
        <v>-4.8938097600640025E-4</v>
      </c>
      <c r="Y173" s="3">
        <v>5.3426334806913412E-3</v>
      </c>
      <c r="Z173" s="3">
        <v>1.0405827263267579E-2</v>
      </c>
      <c r="AA173" s="3">
        <v>-6.420155128906333E-3</v>
      </c>
      <c r="AB173" s="3">
        <v>3.6658389850017903E-2</v>
      </c>
      <c r="AC173" s="3">
        <v>2.015097868378668E-2</v>
      </c>
      <c r="AD173" s="3">
        <v>1.0733448205852718E-2</v>
      </c>
      <c r="AE173" s="3">
        <v>-1.1341855309218191E-2</v>
      </c>
      <c r="AF173" s="3">
        <v>4.0359935643278486E-2</v>
      </c>
      <c r="AG173" s="3">
        <v>-1.5697137580794083E-2</v>
      </c>
      <c r="AH173" s="3">
        <v>3.6279175785904144E-2</v>
      </c>
      <c r="AI173" s="3">
        <v>3.9770504772925659E-3</v>
      </c>
      <c r="AJ173" s="3">
        <v>-8.3334183181286853E-3</v>
      </c>
      <c r="AK173" s="3">
        <v>5.9999999999999963E-2</v>
      </c>
      <c r="AL173" s="3">
        <v>2.3053579701589454E-3</v>
      </c>
      <c r="AM173" s="3">
        <v>-1.1085717673509608E-2</v>
      </c>
      <c r="AN173" s="3">
        <v>1.3363426385032968E-2</v>
      </c>
    </row>
    <row r="174" spans="1:40" x14ac:dyDescent="0.3">
      <c r="A174" s="101">
        <v>44561</v>
      </c>
      <c r="B174" s="3">
        <v>-4.9789542047334247E-2</v>
      </c>
      <c r="C174" s="3">
        <v>9.5350678614872907E-3</v>
      </c>
      <c r="D174" s="3">
        <v>1.9942882313612253E-2</v>
      </c>
      <c r="E174" s="3">
        <v>-2.2232784179705752E-2</v>
      </c>
      <c r="F174" s="3">
        <v>1.0268907512639829E-2</v>
      </c>
      <c r="G174" s="3">
        <v>-3.934596113358315E-2</v>
      </c>
      <c r="H174" s="3">
        <v>-4.8911714355587641E-3</v>
      </c>
      <c r="I174" s="3">
        <v>2.154037306966318E-3</v>
      </c>
      <c r="J174" s="3">
        <v>-2.5237687746423355E-2</v>
      </c>
      <c r="K174" s="3">
        <v>1.0152284263959175E-3</v>
      </c>
      <c r="L174" s="3">
        <v>-2.8381314844802073E-2</v>
      </c>
      <c r="M174" s="3">
        <v>0.36470588235294116</v>
      </c>
      <c r="N174" s="3">
        <v>3.089043217502889E-2</v>
      </c>
      <c r="O174" s="3">
        <v>-1.9808241779208344E-2</v>
      </c>
      <c r="P174" s="3">
        <v>-1.8530351437699738E-2</v>
      </c>
      <c r="Q174" s="3">
        <v>2.7153445152040399E-2</v>
      </c>
      <c r="R174" s="3">
        <v>1.1814053181529904E-2</v>
      </c>
      <c r="S174" s="3">
        <v>2.0478859861705031E-3</v>
      </c>
      <c r="T174" s="3">
        <v>5.9880300518850935E-3</v>
      </c>
      <c r="U174" s="3">
        <v>-1.0948867636501635E-2</v>
      </c>
      <c r="V174" s="3">
        <v>-2.3501584623474635E-3</v>
      </c>
      <c r="W174" s="3">
        <v>4.0891015148257395E-2</v>
      </c>
      <c r="X174" s="3">
        <v>9.7919711036460917E-3</v>
      </c>
      <c r="Y174" s="3">
        <v>6.9246924068540716E-2</v>
      </c>
      <c r="Z174" s="3">
        <v>6.0762100926879482E-2</v>
      </c>
      <c r="AA174" s="3">
        <v>1.9526432496556854E-3</v>
      </c>
      <c r="AB174" s="3">
        <v>1.6073836140034575E-2</v>
      </c>
      <c r="AC174" s="3">
        <v>5.9735589469995876E-3</v>
      </c>
      <c r="AD174" s="3">
        <v>-2.3362859745218716E-2</v>
      </c>
      <c r="AE174" s="3">
        <v>-1.8648120385889367E-3</v>
      </c>
      <c r="AF174" s="3">
        <v>1.0418799248845687E-2</v>
      </c>
      <c r="AG174" s="3">
        <v>-7.0356472795496516E-3</v>
      </c>
      <c r="AH174" s="3">
        <v>6.2835892298325228E-3</v>
      </c>
      <c r="AI174" s="3">
        <v>-2.5720469948899174E-2</v>
      </c>
      <c r="AJ174" s="3">
        <v>-1.595924025700711E-2</v>
      </c>
      <c r="AK174" s="3">
        <v>5.6603773584905627E-2</v>
      </c>
      <c r="AL174" s="3">
        <v>5.1817369464639785E-3</v>
      </c>
      <c r="AM174" s="3">
        <v>-2.5300157486368154E-2</v>
      </c>
      <c r="AN174" s="3">
        <v>-4.4633155020732682E-3</v>
      </c>
    </row>
    <row r="175" spans="1:40" x14ac:dyDescent="0.3">
      <c r="A175" s="101">
        <v>44564</v>
      </c>
      <c r="B175" s="3">
        <v>8.3641595588183522E-3</v>
      </c>
      <c r="C175" s="3">
        <v>-2.597293440295021E-3</v>
      </c>
      <c r="D175" s="3">
        <v>-1.1173268904216499E-2</v>
      </c>
      <c r="E175" s="3">
        <v>1.733087296051513E-2</v>
      </c>
      <c r="F175" s="3">
        <v>-9.6799600794231352E-4</v>
      </c>
      <c r="G175" s="3">
        <v>-3.3569998900738772E-2</v>
      </c>
      <c r="H175" s="3">
        <v>4.8051705101906302E-4</v>
      </c>
      <c r="I175" s="3">
        <v>-6.9855602981305472E-3</v>
      </c>
      <c r="J175" s="3">
        <v>-2.4721509127950641E-3</v>
      </c>
      <c r="K175" s="3">
        <v>0</v>
      </c>
      <c r="L175" s="3">
        <v>-2.2232784179705752E-2</v>
      </c>
      <c r="M175" s="3">
        <v>-5.1915708812260535E-2</v>
      </c>
      <c r="N175" s="3">
        <v>-1.9631893855937442E-3</v>
      </c>
      <c r="O175" s="3">
        <v>-8.5698070119495087E-4</v>
      </c>
      <c r="P175" s="3">
        <v>2.2786458333333426E-2</v>
      </c>
      <c r="Q175" s="3">
        <v>1.1850631982630507E-2</v>
      </c>
      <c r="R175" s="3">
        <v>-1.6075548034982865E-3</v>
      </c>
      <c r="S175" s="3">
        <v>-1.0899265787778408E-2</v>
      </c>
      <c r="T175" s="3">
        <v>-6.2654706494976863E-4</v>
      </c>
      <c r="U175" s="3">
        <v>-3.4440536974967399E-3</v>
      </c>
      <c r="V175" s="3">
        <v>-1.2956418284945891E-2</v>
      </c>
      <c r="W175" s="3">
        <v>-7.3458792316067664E-3</v>
      </c>
      <c r="X175" s="3">
        <v>3.8787878787877963E-3</v>
      </c>
      <c r="Y175" s="3">
        <v>-1.1245569443791644E-2</v>
      </c>
      <c r="Z175" s="3">
        <v>1.8446601941747524E-2</v>
      </c>
      <c r="AA175" s="3">
        <v>4.0347805272605848E-2</v>
      </c>
      <c r="AB175" s="3">
        <v>2.7683705260497831E-2</v>
      </c>
      <c r="AC175" s="3">
        <v>1.2786921675774218E-2</v>
      </c>
      <c r="AD175" s="3">
        <v>-1.2685744568056953E-2</v>
      </c>
      <c r="AE175" s="3">
        <v>8.9630103966464123E-3</v>
      </c>
      <c r="AF175" s="3">
        <v>4.673098659290701E-2</v>
      </c>
      <c r="AG175" s="3">
        <v>1.4643363249881847E-2</v>
      </c>
      <c r="AH175" s="3">
        <v>-8.9206052867855046E-2</v>
      </c>
      <c r="AI175" s="3">
        <v>-3.005301846268257E-2</v>
      </c>
      <c r="AJ175" s="3">
        <v>-1.2917176820342711E-2</v>
      </c>
      <c r="AK175" s="3">
        <v>-6.7857142857142838E-2</v>
      </c>
      <c r="AL175" s="3">
        <v>-8.679098575610669E-4</v>
      </c>
      <c r="AM175" s="3">
        <v>-1.4845009912707959E-2</v>
      </c>
      <c r="AN175" s="3">
        <v>5.3763559745552609E-4</v>
      </c>
    </row>
    <row r="176" spans="1:40" x14ac:dyDescent="0.3">
      <c r="A176" s="101">
        <v>44565</v>
      </c>
      <c r="B176" s="3">
        <v>1.6345411991089107E-2</v>
      </c>
      <c r="C176" s="3">
        <v>2.2016933491507438E-2</v>
      </c>
      <c r="D176" s="3">
        <v>-3.6723161439915171E-2</v>
      </c>
      <c r="E176" s="3">
        <v>-4.4006776291935518E-3</v>
      </c>
      <c r="F176" s="3">
        <v>9.6898155482749628E-3</v>
      </c>
      <c r="G176" s="3">
        <v>-0.10109789974702861</v>
      </c>
      <c r="H176" s="3">
        <v>-4.9935106359576637E-3</v>
      </c>
      <c r="I176" s="3">
        <v>-9.1991186000490322E-3</v>
      </c>
      <c r="J176" s="3">
        <v>2.8955318937321114E-2</v>
      </c>
      <c r="K176" s="3">
        <v>-3.651115618661252E-2</v>
      </c>
      <c r="L176" s="3">
        <v>1.733087296051513E-2</v>
      </c>
      <c r="M176" s="3">
        <v>2.9673334680406818</v>
      </c>
      <c r="N176" s="3">
        <v>-2.2051981658163418E-2</v>
      </c>
      <c r="O176" s="3">
        <v>-8.3618915974806377E-3</v>
      </c>
      <c r="P176" s="3">
        <v>-9.5480585614258658E-3</v>
      </c>
      <c r="Q176" s="3">
        <v>-3.1531490217501103E-2</v>
      </c>
      <c r="R176" s="3">
        <v>0</v>
      </c>
      <c r="S176" s="3">
        <v>0</v>
      </c>
      <c r="T176" s="3">
        <v>-2.4764884882440528E-2</v>
      </c>
      <c r="U176" s="3">
        <v>-2.468375601278005E-4</v>
      </c>
      <c r="V176" s="3">
        <v>-1.3126490587612403E-2</v>
      </c>
      <c r="W176" s="3">
        <v>-5.6306557695732307E-3</v>
      </c>
      <c r="X176" s="3">
        <v>-2.6563873460516037E-3</v>
      </c>
      <c r="Y176" s="3">
        <v>1.4216821744861483E-2</v>
      </c>
      <c r="Z176" s="3">
        <v>2.0972354623450967E-2</v>
      </c>
      <c r="AA176" s="3">
        <v>2.5999182029988826E-3</v>
      </c>
      <c r="AB176" s="3">
        <v>1.6791580186834374E-3</v>
      </c>
      <c r="AC176" s="3">
        <v>1.4531771715701755E-2</v>
      </c>
      <c r="AD176" s="3">
        <v>5.1395116511395861E-3</v>
      </c>
      <c r="AE176" s="3">
        <v>-5.4472201816325207E-2</v>
      </c>
      <c r="AF176" s="3">
        <v>8.8241511896134647E-2</v>
      </c>
      <c r="AG176" s="3">
        <v>4.3296089385474849E-2</v>
      </c>
      <c r="AH176" s="3">
        <v>-1.371208648087247E-2</v>
      </c>
      <c r="AI176" s="3">
        <v>2.6184756040494809E-2</v>
      </c>
      <c r="AJ176" s="3">
        <v>-1.7811870555269862E-2</v>
      </c>
      <c r="AK176" s="3">
        <v>0.49042145593869746</v>
      </c>
      <c r="AL176" s="3">
        <v>9.3924290892657622E-3</v>
      </c>
      <c r="AM176" s="3">
        <v>9.2495487118126399E-3</v>
      </c>
      <c r="AN176" s="3">
        <v>9.7541349681991556E-3</v>
      </c>
    </row>
    <row r="177" spans="1:40" x14ac:dyDescent="0.3">
      <c r="A177" s="101">
        <v>44566</v>
      </c>
      <c r="B177" s="3">
        <v>9.36134894536279E-3</v>
      </c>
      <c r="C177" s="3">
        <v>-1.1581947194636857E-3</v>
      </c>
      <c r="D177" s="3">
        <v>-1.1730000785589665E-2</v>
      </c>
      <c r="E177" s="3">
        <v>7.7021585243317991E-3</v>
      </c>
      <c r="F177" s="3">
        <v>5.2783709724245533E-3</v>
      </c>
      <c r="G177" s="3">
        <v>-3.455747648737946E-2</v>
      </c>
      <c r="H177" s="3">
        <v>3.6331210942106627E-3</v>
      </c>
      <c r="I177" s="3">
        <v>4.9153351013619048E-3</v>
      </c>
      <c r="J177" s="3">
        <v>1.6098380933868901E-2</v>
      </c>
      <c r="K177" s="3">
        <v>0</v>
      </c>
      <c r="L177" s="3">
        <v>-4.4006776291935518E-3</v>
      </c>
      <c r="M177" s="3">
        <v>-0.84902296996757376</v>
      </c>
      <c r="N177" s="3">
        <v>1.3762522629558783E-2</v>
      </c>
      <c r="O177" s="3">
        <v>1.1891965320031343E-2</v>
      </c>
      <c r="P177" s="3">
        <v>8.3547557840616318E-3</v>
      </c>
      <c r="Q177" s="3">
        <v>2.604640615360632E-2</v>
      </c>
      <c r="R177" s="3">
        <v>0</v>
      </c>
      <c r="S177" s="3">
        <v>0</v>
      </c>
      <c r="T177" s="3">
        <v>-2.2500432794288409E-3</v>
      </c>
      <c r="U177" s="3">
        <v>7.0885267079331604E-3</v>
      </c>
      <c r="V177" s="3">
        <v>-6.0460032237103179E-3</v>
      </c>
      <c r="W177" s="3">
        <v>-3.6564393102338335E-3</v>
      </c>
      <c r="X177" s="3">
        <v>1.5254261870563243E-2</v>
      </c>
      <c r="Y177" s="3">
        <v>3.4543279098873227E-3</v>
      </c>
      <c r="Z177" s="3">
        <v>1.4005602240896226E-2</v>
      </c>
      <c r="AA177" s="3">
        <v>-2.143608289377286E-2</v>
      </c>
      <c r="AB177" s="3">
        <v>-7.6835361285559674E-3</v>
      </c>
      <c r="AC177" s="3">
        <v>-3.5135520019947596E-2</v>
      </c>
      <c r="AD177" s="3">
        <v>-2.0452890017047261E-2</v>
      </c>
      <c r="AE177" s="3">
        <v>-2.8259395561616441E-3</v>
      </c>
      <c r="AF177" s="3">
        <v>7.8582430455441013E-2</v>
      </c>
      <c r="AG177" s="3">
        <v>6.2025836680053528E-2</v>
      </c>
      <c r="AH177" s="3">
        <v>-3.1777549205513504E-2</v>
      </c>
      <c r="AI177" s="3">
        <v>-3.4811550122718783E-2</v>
      </c>
      <c r="AJ177" s="3">
        <v>-3.0199659370293633E-2</v>
      </c>
      <c r="AK177" s="3">
        <v>-0.16452442159383035</v>
      </c>
      <c r="AL177" s="3">
        <v>-4.5090891072583482E-2</v>
      </c>
      <c r="AM177" s="3">
        <v>-6.8780745789449177E-2</v>
      </c>
      <c r="AN177" s="3">
        <v>-2.8125809367779184E-2</v>
      </c>
    </row>
    <row r="178" spans="1:40" x14ac:dyDescent="0.3">
      <c r="A178" s="101">
        <v>44567</v>
      </c>
      <c r="B178" s="3">
        <v>6.89667382163669E-3</v>
      </c>
      <c r="C178" s="3">
        <v>-1.739332113731748E-2</v>
      </c>
      <c r="D178" s="3">
        <v>2.6706132508290015E-2</v>
      </c>
      <c r="E178" s="3">
        <v>-1.0118476621514598E-2</v>
      </c>
      <c r="F178" s="3">
        <v>4.7731704131006069E-3</v>
      </c>
      <c r="G178" s="3">
        <v>2.1286670432987796E-2</v>
      </c>
      <c r="H178" s="3">
        <v>1.1392256349631721E-2</v>
      </c>
      <c r="I178" s="3">
        <v>5.4348749006638327E-3</v>
      </c>
      <c r="J178" s="3">
        <v>3.6801373365576547E-2</v>
      </c>
      <c r="K178" s="3">
        <v>-0.19263157894736843</v>
      </c>
      <c r="L178" s="3">
        <v>7.7021585243317991E-3</v>
      </c>
      <c r="M178" s="3">
        <v>0.28325649387158441</v>
      </c>
      <c r="N178" s="3">
        <v>1.4202156478739809E-2</v>
      </c>
      <c r="O178" s="3">
        <v>1.6951536378143596E-2</v>
      </c>
      <c r="P178" s="3">
        <v>2.7406054811982088E-2</v>
      </c>
      <c r="Q178" s="3">
        <v>-1.631910625327716E-2</v>
      </c>
      <c r="R178" s="3">
        <v>2.96609658979749E-2</v>
      </c>
      <c r="S178" s="3">
        <v>8.9496950398995547E-3</v>
      </c>
      <c r="T178" s="3">
        <v>3.5115999059047248E-2</v>
      </c>
      <c r="U178" s="3">
        <v>-1.935640645087797E-2</v>
      </c>
      <c r="V178" s="3">
        <v>-1.4598530612807553E-2</v>
      </c>
      <c r="W178" s="3">
        <v>-7.1429401923092445E-4</v>
      </c>
      <c r="X178" s="3">
        <v>-3.267347960887193E-2</v>
      </c>
      <c r="Y178" s="3">
        <v>-4.4899221264219053E-4</v>
      </c>
      <c r="Z178" s="3">
        <v>-2.7624309392264607E-3</v>
      </c>
      <c r="AA178" s="3">
        <v>-3.3246241247432771E-2</v>
      </c>
      <c r="AB178" s="3">
        <v>-3.4985235837227582E-2</v>
      </c>
      <c r="AC178" s="3">
        <v>-2.6236549593781733E-2</v>
      </c>
      <c r="AD178" s="3">
        <v>4.8472123111870675E-3</v>
      </c>
      <c r="AE178" s="3">
        <v>4.3504200181370255E-3</v>
      </c>
      <c r="AF178" s="3">
        <v>-9.6250083443474257E-2</v>
      </c>
      <c r="AG178" s="3">
        <v>-2.8991513823172818E-2</v>
      </c>
      <c r="AH178" s="3">
        <v>3.076932031440422E-3</v>
      </c>
      <c r="AI178" s="3">
        <v>-1.2512810960233121E-2</v>
      </c>
      <c r="AJ178" s="3">
        <v>2.8240060943759304E-2</v>
      </c>
      <c r="AK178" s="3">
        <v>-7.0769230769230765E-2</v>
      </c>
      <c r="AL178" s="3">
        <v>1.7653636440672176E-2</v>
      </c>
      <c r="AM178" s="3">
        <v>2.9276766073562412E-2</v>
      </c>
      <c r="AN178" s="3">
        <v>1.5591199792008368E-3</v>
      </c>
    </row>
    <row r="179" spans="1:40" x14ac:dyDescent="0.3">
      <c r="A179" s="101">
        <v>44568</v>
      </c>
      <c r="B179" s="3">
        <v>-1.2990095062616197E-2</v>
      </c>
      <c r="C179" s="3">
        <v>6.8444831627399701E-3</v>
      </c>
      <c r="D179" s="3">
        <v>-3.1791857229518695E-2</v>
      </c>
      <c r="E179" s="3">
        <v>-4.3257001731800415E-2</v>
      </c>
      <c r="F179" s="3">
        <v>-1.4250926792451534E-3</v>
      </c>
      <c r="G179" s="3">
        <v>1.1626432214207214E-2</v>
      </c>
      <c r="H179" s="3">
        <v>5.9967838072316672E-3</v>
      </c>
      <c r="I179" s="3">
        <v>-3.2432537199373157E-3</v>
      </c>
      <c r="J179" s="3">
        <v>9.0240365480074216E-3</v>
      </c>
      <c r="K179" s="3">
        <v>-1.4341590612777096E-2</v>
      </c>
      <c r="L179" s="3">
        <v>-1.0118476621514598E-2</v>
      </c>
      <c r="M179" s="3">
        <v>0.17954784437434279</v>
      </c>
      <c r="N179" s="3">
        <v>-4.2216614726190097E-3</v>
      </c>
      <c r="O179" s="3">
        <v>-5.7431447694360968E-3</v>
      </c>
      <c r="P179" s="3">
        <v>1.7990011290942333E-2</v>
      </c>
      <c r="Q179" s="3">
        <v>1.7511488352571828E-2</v>
      </c>
      <c r="R179" s="3">
        <v>-1.2345610043820683E-2</v>
      </c>
      <c r="S179" s="3">
        <v>0</v>
      </c>
      <c r="T179" s="3">
        <v>-2.0230410958172074E-2</v>
      </c>
      <c r="U179" s="3">
        <v>1.2560907309421662E-2</v>
      </c>
      <c r="V179" s="3">
        <v>2.4692191892905983E-3</v>
      </c>
      <c r="W179" s="3">
        <v>1.8849480751591156E-2</v>
      </c>
      <c r="X179" s="3">
        <v>2.564095104435524E-2</v>
      </c>
      <c r="Y179" s="3">
        <v>7.7364010660423178E-3</v>
      </c>
      <c r="Z179" s="3">
        <v>4.6168051708218565E-3</v>
      </c>
      <c r="AA179" s="3">
        <v>-5.0153733892536551E-2</v>
      </c>
      <c r="AB179" s="3">
        <v>-3.7420773509918979E-2</v>
      </c>
      <c r="AC179" s="3">
        <v>-2.5169860377358428E-2</v>
      </c>
      <c r="AD179" s="3">
        <v>-1.7439688326709082E-2</v>
      </c>
      <c r="AE179" s="3">
        <v>-3.707831645062469E-2</v>
      </c>
      <c r="AF179" s="3">
        <v>-4.1691274771884286E-2</v>
      </c>
      <c r="AG179" s="3">
        <v>-4.3704065612113083E-2</v>
      </c>
      <c r="AH179" s="3">
        <v>6.6462360515253081E-3</v>
      </c>
      <c r="AI179" s="3">
        <v>-7.1435079753596319E-3</v>
      </c>
      <c r="AJ179" s="3">
        <v>-8.3878920491044923E-3</v>
      </c>
      <c r="AK179" s="3">
        <v>4.3046357615894003E-2</v>
      </c>
      <c r="AL179" s="3">
        <v>-1.4690479581120179E-2</v>
      </c>
      <c r="AM179" s="3">
        <v>-1.1529820417221892E-2</v>
      </c>
      <c r="AN179" s="3">
        <v>-9.7046535980995982E-3</v>
      </c>
    </row>
    <row r="180" spans="1:40" x14ac:dyDescent="0.3">
      <c r="A180" s="101">
        <v>44571</v>
      </c>
      <c r="B180" s="3">
        <v>-1.4836196549304022E-2</v>
      </c>
      <c r="C180" s="3">
        <v>-7.0323393498960768E-3</v>
      </c>
      <c r="D180" s="3">
        <v>5.97019395493157E-3</v>
      </c>
      <c r="E180" s="3">
        <v>-1.4948667365194292E-2</v>
      </c>
      <c r="F180" s="3">
        <v>2.3311133294613057E-2</v>
      </c>
      <c r="G180" s="3">
        <v>7.146441855342861E-2</v>
      </c>
      <c r="H180" s="3">
        <v>-3.9692133379941205E-5</v>
      </c>
      <c r="I180" s="3">
        <v>-5.4229740293817935E-3</v>
      </c>
      <c r="J180" s="3">
        <v>-1.0135693900515249E-2</v>
      </c>
      <c r="K180" s="3">
        <v>-6.6137566137565908E-3</v>
      </c>
      <c r="L180" s="3">
        <v>-4.3257001731800415E-2</v>
      </c>
      <c r="M180" s="3">
        <v>-0.27969690216180076</v>
      </c>
      <c r="N180" s="3">
        <v>1.7061322289741148E-2</v>
      </c>
      <c r="O180" s="3">
        <v>1.0636828978937134E-2</v>
      </c>
      <c r="P180" s="3">
        <v>1.7062827544180294E-2</v>
      </c>
      <c r="Q180" s="3">
        <v>1.0869587407066152E-2</v>
      </c>
      <c r="R180" s="3">
        <v>3.241662122077623E-2</v>
      </c>
      <c r="S180" s="3">
        <v>0</v>
      </c>
      <c r="T180" s="3">
        <v>1.2707050678873969E-3</v>
      </c>
      <c r="U180" s="3">
        <v>1.0126576445283654E-2</v>
      </c>
      <c r="V180" s="3">
        <v>-1.3546796400147179E-2</v>
      </c>
      <c r="W180" s="3">
        <v>6.0605406672352849E-3</v>
      </c>
      <c r="X180" s="3">
        <v>2.1394327951650326E-2</v>
      </c>
      <c r="Y180" s="3">
        <v>2.3328415750225425E-2</v>
      </c>
      <c r="Z180" s="3">
        <v>5.5147058823528236E-3</v>
      </c>
      <c r="AA180" s="3">
        <v>5.8321671833893744E-2</v>
      </c>
      <c r="AB180" s="3">
        <v>1.6520050429459279E-2</v>
      </c>
      <c r="AC180" s="3">
        <v>1.424543485151031E-2</v>
      </c>
      <c r="AD180" s="3">
        <v>1.1329100408802118E-3</v>
      </c>
      <c r="AE180" s="3">
        <v>6.9840405803769504E-2</v>
      </c>
      <c r="AF180" s="3">
        <v>7.8968917774699887E-2</v>
      </c>
      <c r="AG180" s="3">
        <v>2.6696877828054175E-2</v>
      </c>
      <c r="AH180" s="3">
        <v>3.6058914147148242E-2</v>
      </c>
      <c r="AI180" s="3">
        <v>2.6839358229901116E-2</v>
      </c>
      <c r="AJ180" s="3">
        <v>1.5869607211412302E-2</v>
      </c>
      <c r="AK180" s="3">
        <v>0.24126984126984136</v>
      </c>
      <c r="AL180" s="3">
        <v>3.5740288851135109E-2</v>
      </c>
      <c r="AM180" s="3">
        <v>1.2490773329022844E-2</v>
      </c>
      <c r="AN180" s="3">
        <v>4.2629898853844446E-2</v>
      </c>
    </row>
    <row r="181" spans="1:40" x14ac:dyDescent="0.3">
      <c r="A181" s="101">
        <v>44572</v>
      </c>
      <c r="B181" s="3">
        <v>4.2992569931654977E-2</v>
      </c>
      <c r="C181" s="3">
        <v>1.3219989939935343E-2</v>
      </c>
      <c r="D181" s="3">
        <v>-3.2640894781374857E-2</v>
      </c>
      <c r="E181" s="3">
        <v>2.8488943966807453E-2</v>
      </c>
      <c r="F181" s="3">
        <v>-5.1138672242233649E-3</v>
      </c>
      <c r="G181" s="3">
        <v>7.691707861539368E-2</v>
      </c>
      <c r="H181" s="3">
        <v>2.1182006480899461E-3</v>
      </c>
      <c r="I181" s="3">
        <v>-7.6335937560223178E-3</v>
      </c>
      <c r="J181" s="3">
        <v>2.4075882849748412E-4</v>
      </c>
      <c r="K181" s="3">
        <v>7.9893475366179089E-3</v>
      </c>
      <c r="L181" s="3">
        <v>-1.4948667365194292E-2</v>
      </c>
      <c r="M181" s="3">
        <v>-0.13479785478547854</v>
      </c>
      <c r="N181" s="3">
        <v>-3.4566891880828108E-3</v>
      </c>
      <c r="O181" s="3">
        <v>1.6031152632785796E-2</v>
      </c>
      <c r="P181" s="3">
        <v>7.189921678255147E-2</v>
      </c>
      <c r="Q181" s="3">
        <v>9.8566605115357094E-3</v>
      </c>
      <c r="R181" s="3">
        <v>-2.7362982187709311E-2</v>
      </c>
      <c r="S181" s="3">
        <v>-1.6037600297149967E-2</v>
      </c>
      <c r="T181" s="3">
        <v>5.710643530129832E-3</v>
      </c>
      <c r="U181" s="3">
        <v>3.2580738077866603E-3</v>
      </c>
      <c r="V181" s="3">
        <v>-1.3732935457186424E-2</v>
      </c>
      <c r="W181" s="3">
        <v>-8.243461348803504E-3</v>
      </c>
      <c r="X181" s="3">
        <v>0</v>
      </c>
      <c r="Y181" s="3">
        <v>2.3038545941442484E-2</v>
      </c>
      <c r="Z181" s="3">
        <v>2.1937842778793439E-2</v>
      </c>
      <c r="AA181" s="3">
        <v>3.9270727784165189E-2</v>
      </c>
      <c r="AB181" s="3">
        <v>6.3370159818177292E-3</v>
      </c>
      <c r="AC181" s="3">
        <v>1.9350317951592741E-2</v>
      </c>
      <c r="AD181" s="3">
        <v>1.2825329624156889E-2</v>
      </c>
      <c r="AE181" s="3">
        <v>6.126833076592955E-3</v>
      </c>
      <c r="AF181" s="3">
        <v>-3.9556639731779399E-2</v>
      </c>
      <c r="AG181" s="3">
        <v>-1.7628910637773821E-2</v>
      </c>
      <c r="AH181" s="3">
        <v>-3.3333429372566045E-2</v>
      </c>
      <c r="AI181" s="3">
        <v>2.5041192221742142E-2</v>
      </c>
      <c r="AJ181" s="3">
        <v>2.8590241839463761E-2</v>
      </c>
      <c r="AK181" s="3">
        <v>-0.1202046035805627</v>
      </c>
      <c r="AL181" s="3">
        <v>1.3758719239236975E-2</v>
      </c>
      <c r="AM181" s="3">
        <v>1.6918958467306885E-2</v>
      </c>
      <c r="AN181" s="3">
        <v>1.1104215726036436E-2</v>
      </c>
    </row>
    <row r="182" spans="1:40" x14ac:dyDescent="0.3">
      <c r="A182" s="101">
        <v>44573</v>
      </c>
      <c r="B182" s="3">
        <v>1.863144187656731E-3</v>
      </c>
      <c r="C182" s="3">
        <v>1.1650343904630446E-3</v>
      </c>
      <c r="D182" s="3">
        <v>-7.9853060028597048E-3</v>
      </c>
      <c r="E182" s="3">
        <v>-4.5356207634602597E-5</v>
      </c>
      <c r="F182" s="3">
        <v>9.3456914907656483E-3</v>
      </c>
      <c r="G182" s="3">
        <v>-6.8815427696875611E-3</v>
      </c>
      <c r="H182" s="3">
        <v>9.650389436425315E-4</v>
      </c>
      <c r="I182" s="3">
        <v>4.3955998182069727E-3</v>
      </c>
      <c r="J182" s="3">
        <v>-1.5054904192326581E-2</v>
      </c>
      <c r="K182" s="3">
        <v>-2.6420079260238388E-3</v>
      </c>
      <c r="L182" s="3">
        <v>2.8488943966807453E-2</v>
      </c>
      <c r="M182" s="3">
        <v>0.40135892239837884</v>
      </c>
      <c r="N182" s="3">
        <v>1.7344764978107397E-3</v>
      </c>
      <c r="O182" s="3">
        <v>-1.5297927687964723E-2</v>
      </c>
      <c r="P182" s="3">
        <v>1.1179989445500027E-3</v>
      </c>
      <c r="Q182" s="3">
        <v>-1.4196974480055356E-2</v>
      </c>
      <c r="R182" s="3">
        <v>4.1493931291022189E-3</v>
      </c>
      <c r="S182" s="3">
        <v>1.768987637588941E-2</v>
      </c>
      <c r="T182" s="3">
        <v>7.8864146250458046E-3</v>
      </c>
      <c r="U182" s="3">
        <v>1.8985852256097328E-2</v>
      </c>
      <c r="V182" s="3">
        <v>-3.1645540483324915E-2</v>
      </c>
      <c r="W182" s="3">
        <v>9.9105267382976966E-3</v>
      </c>
      <c r="X182" s="3">
        <v>-5.6484346599935901E-3</v>
      </c>
      <c r="Y182" s="3">
        <v>-3.2170744007445147E-3</v>
      </c>
      <c r="Z182" s="3">
        <v>-1.6100178890876539E-2</v>
      </c>
      <c r="AA182" s="3">
        <v>-2.0738068075366999E-2</v>
      </c>
      <c r="AB182" s="3">
        <v>-7.7786887535410574E-3</v>
      </c>
      <c r="AC182" s="3">
        <v>-1.6099783620253975E-3</v>
      </c>
      <c r="AD182" s="3">
        <v>2.9795157921011211E-2</v>
      </c>
      <c r="AE182" s="3">
        <v>1.5092554029850687E-2</v>
      </c>
      <c r="AF182" s="3">
        <v>3.5813881916922613E-2</v>
      </c>
      <c r="AG182" s="3">
        <v>-5.8322563556636913E-3</v>
      </c>
      <c r="AH182" s="3">
        <v>2.7383448756857529E-2</v>
      </c>
      <c r="AI182" s="3">
        <v>-7.3704079639031091E-3</v>
      </c>
      <c r="AJ182" s="3">
        <v>-6.8769951563700258E-3</v>
      </c>
      <c r="AK182" s="3">
        <v>4.6511627906976785E-2</v>
      </c>
      <c r="AL182" s="3">
        <v>7.3960681959183219E-2</v>
      </c>
      <c r="AM182" s="3">
        <v>-1.5889450943183003E-2</v>
      </c>
      <c r="AN182" s="3">
        <v>-1.9961568047337244E-2</v>
      </c>
    </row>
    <row r="183" spans="1:40" x14ac:dyDescent="0.3">
      <c r="A183" s="101">
        <v>44574</v>
      </c>
      <c r="B183" s="3">
        <v>1.6503834660720702E-2</v>
      </c>
      <c r="C183" s="3">
        <v>8.3779076857394899E-3</v>
      </c>
      <c r="D183" s="3">
        <v>-1.857584466964015E-2</v>
      </c>
      <c r="E183" s="3">
        <v>5.79383954068401E-3</v>
      </c>
      <c r="F183" s="3">
        <v>1.5740796283798188E-2</v>
      </c>
      <c r="G183" s="3">
        <v>-8.8293238294971405E-2</v>
      </c>
      <c r="H183" s="3">
        <v>5.4069221554300809E-3</v>
      </c>
      <c r="I183" s="3">
        <v>8.205743818917496E-3</v>
      </c>
      <c r="J183" s="3">
        <v>1.91978601765408E-2</v>
      </c>
      <c r="K183" s="3">
        <v>5.6953642384106044E-2</v>
      </c>
      <c r="L183" s="3">
        <v>-4.5356207634602597E-5</v>
      </c>
      <c r="M183" s="3">
        <v>0.1083701939435182</v>
      </c>
      <c r="N183" s="3">
        <v>-1.1203294420882566E-3</v>
      </c>
      <c r="O183" s="3">
        <v>1.4072690101246918E-2</v>
      </c>
      <c r="P183" s="3">
        <v>4.4667727526521477E-2</v>
      </c>
      <c r="Q183" s="3">
        <v>3.7803799110133651E-2</v>
      </c>
      <c r="R183" s="3">
        <v>1.6528945820925543E-2</v>
      </c>
      <c r="S183" s="3">
        <v>1.2952707129275144E-3</v>
      </c>
      <c r="T183" s="3">
        <v>-7.8247057511730746E-3</v>
      </c>
      <c r="U183" s="3">
        <v>-1.8877146069780776E-2</v>
      </c>
      <c r="V183" s="3">
        <v>0</v>
      </c>
      <c r="W183" s="3">
        <v>-4.4634409922047417E-2</v>
      </c>
      <c r="X183" s="3">
        <v>-2.7218982248520724E-2</v>
      </c>
      <c r="Y183" s="3">
        <v>-1.5283121977472839E-2</v>
      </c>
      <c r="Z183" s="3">
        <v>-9.9999999999999482E-3</v>
      </c>
      <c r="AA183" s="3">
        <v>-5.4991166323471331E-3</v>
      </c>
      <c r="AB183" s="3">
        <v>2.575774917114055E-2</v>
      </c>
      <c r="AC183" s="3">
        <v>-6.0005251678353654E-4</v>
      </c>
      <c r="AD183" s="3">
        <v>5.7866031171432512E-3</v>
      </c>
      <c r="AE183" s="3">
        <v>1.7902900403885823E-2</v>
      </c>
      <c r="AF183" s="3">
        <v>0</v>
      </c>
      <c r="AG183" s="3">
        <v>2.4819449458483741E-2</v>
      </c>
      <c r="AH183" s="3">
        <v>-1.2833206035660251E-2</v>
      </c>
      <c r="AI183" s="3">
        <v>-1.2874148812823814E-2</v>
      </c>
      <c r="AJ183" s="3">
        <v>1.4426553445571302E-2</v>
      </c>
      <c r="AK183" s="3">
        <v>5.5555555555555601E-3</v>
      </c>
      <c r="AL183" s="3">
        <v>-3.7197002281140214E-3</v>
      </c>
      <c r="AM183" s="3">
        <v>2.3560961566907929E-2</v>
      </c>
      <c r="AN183" s="3">
        <v>5.5758470285807724E-3</v>
      </c>
    </row>
    <row r="184" spans="1:40" x14ac:dyDescent="0.3">
      <c r="A184" s="101">
        <v>44575</v>
      </c>
      <c r="B184" s="3">
        <v>-5.4880780523704651E-3</v>
      </c>
      <c r="C184" s="3">
        <v>1.2231691813275859E-2</v>
      </c>
      <c r="D184" s="3">
        <v>-1.8927437814475992E-2</v>
      </c>
      <c r="E184" s="3">
        <v>-1.2825781044698231E-2</v>
      </c>
      <c r="F184" s="3">
        <v>-1.6864146757169709E-2</v>
      </c>
      <c r="G184" s="3">
        <v>4.4201783187291836E-2</v>
      </c>
      <c r="H184" s="3">
        <v>-3.1594389580650193E-3</v>
      </c>
      <c r="I184" s="3">
        <v>4.3407440438521421E-3</v>
      </c>
      <c r="J184" s="3">
        <v>1.8956363982396484E-2</v>
      </c>
      <c r="K184" s="3">
        <v>3.2581453634085183E-2</v>
      </c>
      <c r="L184" s="3">
        <v>5.79383954068401E-3</v>
      </c>
      <c r="M184" s="3">
        <v>-0.25679201841903299</v>
      </c>
      <c r="N184" s="3">
        <v>-8.76831672383983E-3</v>
      </c>
      <c r="O184" s="3">
        <v>1.6625446118830978E-2</v>
      </c>
      <c r="P184" s="3">
        <v>1.7637734774865587E-2</v>
      </c>
      <c r="Q184" s="3">
        <v>-2.6886372542028185E-2</v>
      </c>
      <c r="R184" s="3">
        <v>-4.0650557267046406E-3</v>
      </c>
      <c r="S184" s="3">
        <v>0</v>
      </c>
      <c r="T184" s="3">
        <v>-5.678217255497056E-3</v>
      </c>
      <c r="U184" s="3">
        <v>1.1993970304639872E-2</v>
      </c>
      <c r="V184" s="3">
        <v>3.3986995170189299E-2</v>
      </c>
      <c r="W184" s="3">
        <v>3.3133738691229752E-4</v>
      </c>
      <c r="X184" s="3">
        <v>2.6764064562728226E-2</v>
      </c>
      <c r="Y184" s="3">
        <v>-2.4340882901909291E-2</v>
      </c>
      <c r="Z184" s="3">
        <v>-8.2644628099173417E-3</v>
      </c>
      <c r="AA184" s="3">
        <v>2.6353475955934978E-3</v>
      </c>
      <c r="AB184" s="3">
        <v>-3.0980587467503103E-3</v>
      </c>
      <c r="AC184" s="3">
        <v>6.0415627618884684E-3</v>
      </c>
      <c r="AD184" s="3">
        <v>1.3664118341775919E-2</v>
      </c>
      <c r="AE184" s="3">
        <v>1.6663636213010619E-2</v>
      </c>
      <c r="AF184" s="3">
        <v>3.8033188280342904E-2</v>
      </c>
      <c r="AG184" s="3">
        <v>-8.3663147673410394E-3</v>
      </c>
      <c r="AH184" s="3">
        <v>2.5000073470017169E-2</v>
      </c>
      <c r="AI184" s="3">
        <v>2.2444643122025567E-2</v>
      </c>
      <c r="AJ184" s="3">
        <v>3.1856465594252453E-2</v>
      </c>
      <c r="AK184" s="3">
        <v>0.19889502762430933</v>
      </c>
      <c r="AL184" s="3">
        <v>1.7276259836983696E-2</v>
      </c>
      <c r="AM184" s="3">
        <v>-2.4811559457244775E-3</v>
      </c>
      <c r="AN184" s="3">
        <v>6.3494144758435619E-3</v>
      </c>
    </row>
    <row r="185" spans="1:40" x14ac:dyDescent="0.3">
      <c r="A185" s="101">
        <v>44578</v>
      </c>
      <c r="B185" s="3">
        <v>3.6790010261460664E-2</v>
      </c>
      <c r="C185" s="3">
        <v>7.0679079814465013E-3</v>
      </c>
      <c r="D185" s="3">
        <v>3.858519449837966E-2</v>
      </c>
      <c r="E185" s="3">
        <v>2.0970096272655826E-2</v>
      </c>
      <c r="F185" s="3">
        <v>4.1723931973221603E-3</v>
      </c>
      <c r="G185" s="3">
        <v>-9.0024782369663697E-3</v>
      </c>
      <c r="H185" s="3">
        <v>4.3719063737227256E-3</v>
      </c>
      <c r="I185" s="3">
        <v>-4.8622797761019299E-3</v>
      </c>
      <c r="J185" s="3">
        <v>-2.3548761468349696E-3</v>
      </c>
      <c r="K185" s="3">
        <v>1.2135922330096828E-3</v>
      </c>
      <c r="L185" s="3">
        <v>-1.2825781044698231E-2</v>
      </c>
      <c r="M185" s="3">
        <v>0.54409334985543167</v>
      </c>
      <c r="N185" s="3">
        <v>-1.2548837208855908E-2</v>
      </c>
      <c r="O185" s="3">
        <v>1.6894398605594261E-3</v>
      </c>
      <c r="P185" s="3">
        <v>-1.4705934101579018E-2</v>
      </c>
      <c r="Q185" s="3">
        <v>-1.5151498840670279E-2</v>
      </c>
      <c r="R185" s="3">
        <v>-1.2000065966356501E-2</v>
      </c>
      <c r="S185" s="3">
        <v>3.8123603190205455E-3</v>
      </c>
      <c r="T185" s="3">
        <v>-8.5660133632359577E-3</v>
      </c>
      <c r="U185" s="3">
        <v>1.8518551348294075E-2</v>
      </c>
      <c r="V185" s="3">
        <v>3.6662381937917911E-2</v>
      </c>
      <c r="W185" s="3">
        <v>-3.9748134503448627E-3</v>
      </c>
      <c r="X185" s="3">
        <v>-4.7393600772663563E-3</v>
      </c>
      <c r="Y185" s="3">
        <v>-4.6931973588893935E-3</v>
      </c>
      <c r="Z185" s="3">
        <v>-9.2592592592593906E-3</v>
      </c>
      <c r="AA185" s="3">
        <v>1.3130297293695267E-2</v>
      </c>
      <c r="AB185" s="3">
        <v>1.0970332387414562E-3</v>
      </c>
      <c r="AC185" s="3">
        <v>-5.6695970383528844E-3</v>
      </c>
      <c r="AD185" s="3">
        <v>2.0219946659642531E-2</v>
      </c>
      <c r="AE185" s="3">
        <v>-1.1957557163465105E-2</v>
      </c>
      <c r="AF185" s="3">
        <v>8.5122264815496486E-3</v>
      </c>
      <c r="AG185" s="3">
        <v>9.3250444049733944E-3</v>
      </c>
      <c r="AH185" s="3">
        <v>-1.9024345922867888E-2</v>
      </c>
      <c r="AI185" s="3">
        <v>6.1701677316372229E-3</v>
      </c>
      <c r="AJ185" s="3">
        <v>-1.1715125667921367E-2</v>
      </c>
      <c r="AK185" s="3">
        <v>2.304147465437739E-3</v>
      </c>
      <c r="AL185" s="3">
        <v>-2.4261391339153856E-3</v>
      </c>
      <c r="AM185" s="3">
        <v>-5.2106884922296405E-3</v>
      </c>
      <c r="AN185" s="3">
        <v>-8.7137808118821769E-3</v>
      </c>
    </row>
    <row r="186" spans="1:40" x14ac:dyDescent="0.3">
      <c r="A186" s="101">
        <v>44579</v>
      </c>
      <c r="B186" s="3">
        <v>-7.3186856907900043E-3</v>
      </c>
      <c r="C186" s="3">
        <v>-8.150299373086865E-3</v>
      </c>
      <c r="D186" s="3">
        <v>6.1918448086292184E-3</v>
      </c>
      <c r="E186" s="3">
        <v>-2.6210021437184036E-2</v>
      </c>
      <c r="F186" s="3">
        <v>-2.3083547718636102E-3</v>
      </c>
      <c r="G186" s="3">
        <v>-2.0062630793129737E-2</v>
      </c>
      <c r="H186" s="3">
        <v>1.3008594964529655E-3</v>
      </c>
      <c r="I186" s="3">
        <v>-5.9718539660515262E-3</v>
      </c>
      <c r="J186" s="3">
        <v>7.4353262454947651E-3</v>
      </c>
      <c r="K186" s="3">
        <v>0</v>
      </c>
      <c r="L186" s="3">
        <v>2.0970096272655826E-2</v>
      </c>
      <c r="M186" s="3">
        <v>-0.47649301143583228</v>
      </c>
      <c r="N186" s="3">
        <v>5.2082689200670523E-3</v>
      </c>
      <c r="O186" s="3">
        <v>1.5583899911206942E-2</v>
      </c>
      <c r="P186" s="3">
        <v>5.8635447761193969E-2</v>
      </c>
      <c r="Q186" s="3">
        <v>3.0769082320929775E-2</v>
      </c>
      <c r="R186" s="3">
        <v>1.379825598297711E-2</v>
      </c>
      <c r="S186" s="3">
        <v>-2.3736963990722958E-3</v>
      </c>
      <c r="T186" s="3">
        <v>-1.2479969911879238E-2</v>
      </c>
      <c r="U186" s="3">
        <v>3.1515119749472867E-2</v>
      </c>
      <c r="V186" s="3">
        <v>-6.0975148949586029E-3</v>
      </c>
      <c r="W186" s="3">
        <v>-2.9597599961801977E-2</v>
      </c>
      <c r="X186" s="3">
        <v>-1.6666690476190484E-2</v>
      </c>
      <c r="Y186" s="3">
        <v>-8.437965908383532E-3</v>
      </c>
      <c r="Z186" s="3">
        <v>-5.6074766355138994E-3</v>
      </c>
      <c r="AA186" s="3">
        <v>-1.6168322241564673E-2</v>
      </c>
      <c r="AB186" s="3">
        <v>-6.5736244464968587E-3</v>
      </c>
      <c r="AC186" s="3">
        <v>1.0766093255154964E-2</v>
      </c>
      <c r="AD186" s="3">
        <v>3.0598064582947605E-2</v>
      </c>
      <c r="AE186" s="3">
        <v>7.5167343773239956E-2</v>
      </c>
      <c r="AF186" s="3">
        <v>9.7246186021776836E-3</v>
      </c>
      <c r="AG186" s="3">
        <v>-3.0796304443466908E-3</v>
      </c>
      <c r="AH186" s="3">
        <v>8.453529573848536E-3</v>
      </c>
      <c r="AI186" s="3">
        <v>1.9871480650876024E-2</v>
      </c>
      <c r="AJ186" s="3">
        <v>-1.1296244781174161E-2</v>
      </c>
      <c r="AK186" s="3">
        <v>-2.2988505747126357E-2</v>
      </c>
      <c r="AL186" s="3">
        <v>-4.4913636993468078E-3</v>
      </c>
      <c r="AM186" s="3">
        <v>2.0349730518954317E-2</v>
      </c>
      <c r="AN186" s="3">
        <v>-5.3988515218659234E-3</v>
      </c>
    </row>
    <row r="187" spans="1:40" x14ac:dyDescent="0.3">
      <c r="A187" s="101">
        <v>44580</v>
      </c>
      <c r="B187" s="3">
        <v>-3.5969571996986159E-2</v>
      </c>
      <c r="C187" s="3">
        <v>-1.2097676765244566E-2</v>
      </c>
      <c r="D187" s="3">
        <v>-3.3846196538635819E-2</v>
      </c>
      <c r="E187" s="3">
        <v>1.8845399116555868E-2</v>
      </c>
      <c r="F187" s="3">
        <v>4.6274819884362705E-3</v>
      </c>
      <c r="G187" s="3">
        <v>-3.0177491124260325E-2</v>
      </c>
      <c r="H187" s="3">
        <v>2.0915200639591825E-3</v>
      </c>
      <c r="I187" s="3">
        <v>2.3484447202726726E-2</v>
      </c>
      <c r="J187" s="3">
        <v>6.6776680322195928E-3</v>
      </c>
      <c r="K187" s="3">
        <v>-3.6363636363635587E-3</v>
      </c>
      <c r="L187" s="3">
        <v>-2.6210021437184036E-2</v>
      </c>
      <c r="M187" s="3">
        <v>0.15968318855390903</v>
      </c>
      <c r="N187" s="3">
        <v>-4.9740978129901338E-3</v>
      </c>
      <c r="O187" s="3">
        <v>1.2621222881501221E-2</v>
      </c>
      <c r="P187" s="3">
        <v>-3.9778497493529845E-2</v>
      </c>
      <c r="Q187" s="3">
        <v>1.492546854590396E-2</v>
      </c>
      <c r="R187" s="3">
        <v>1.8744919687479645E-2</v>
      </c>
      <c r="S187" s="3">
        <v>0</v>
      </c>
      <c r="T187" s="3">
        <v>3.1108184985473367E-2</v>
      </c>
      <c r="U187" s="3">
        <v>1.6216212619177751E-2</v>
      </c>
      <c r="V187" s="3">
        <v>-9.815977662209617E-3</v>
      </c>
      <c r="W187" s="3">
        <v>-3.7525741059474385E-2</v>
      </c>
      <c r="X187" s="3">
        <v>-2.4939443703134147E-2</v>
      </c>
      <c r="Y187" s="3">
        <v>-1.036195103645292E-2</v>
      </c>
      <c r="Z187" s="3">
        <v>-9.3984962406016368E-3</v>
      </c>
      <c r="AA187" s="3">
        <v>-5.2550943072113734E-2</v>
      </c>
      <c r="AB187" s="3">
        <v>-4.5586484098981642E-3</v>
      </c>
      <c r="AC187" s="3">
        <v>8.9811946269276917E-3</v>
      </c>
      <c r="AD187" s="3">
        <v>0</v>
      </c>
      <c r="AE187" s="3">
        <v>5.1145175719542451E-3</v>
      </c>
      <c r="AF187" s="3">
        <v>2.7984723624195802E-2</v>
      </c>
      <c r="AG187" s="3">
        <v>-1.7651809355693588E-3</v>
      </c>
      <c r="AH187" s="3">
        <v>-2.3471326159859689E-2</v>
      </c>
      <c r="AI187" s="3">
        <v>-1.8559231734693055E-2</v>
      </c>
      <c r="AJ187" s="3">
        <v>4.7253479339356306E-3</v>
      </c>
      <c r="AK187" s="3">
        <v>-1.4117647058823438E-2</v>
      </c>
      <c r="AL187" s="3">
        <v>5.6970977408036865E-3</v>
      </c>
      <c r="AM187" s="3">
        <v>8.0848908784332818E-3</v>
      </c>
      <c r="AN187" s="3">
        <v>-5.5734039334342398E-3</v>
      </c>
    </row>
    <row r="188" spans="1:40" x14ac:dyDescent="0.3">
      <c r="A188" s="101">
        <v>44581</v>
      </c>
      <c r="B188" s="3">
        <v>-2.8736984850084888E-2</v>
      </c>
      <c r="C188" s="3">
        <v>9.2417763226476527E-4</v>
      </c>
      <c r="D188" s="3">
        <v>-9.5539785266060048E-3</v>
      </c>
      <c r="E188" s="3">
        <v>5.8956564453934608E-3</v>
      </c>
      <c r="F188" s="3">
        <v>5.9880261060163897E-3</v>
      </c>
      <c r="G188" s="3">
        <v>1.8669903957618715E-2</v>
      </c>
      <c r="H188" s="3">
        <v>-1.0685092515093097E-3</v>
      </c>
      <c r="I188" s="3">
        <v>1.3340537795930751E-2</v>
      </c>
      <c r="J188" s="3">
        <v>-6.7497037581841259E-3</v>
      </c>
      <c r="K188" s="3">
        <v>-2.6763990267639978E-2</v>
      </c>
      <c r="L188" s="3">
        <v>1.8845399116555868E-2</v>
      </c>
      <c r="M188" s="3">
        <v>-0.30425203789380922</v>
      </c>
      <c r="N188" s="3">
        <v>1.5309361068869185E-2</v>
      </c>
      <c r="O188" s="3">
        <v>-2.0139035971716766E-2</v>
      </c>
      <c r="P188" s="3">
        <v>-7.8657577346616971E-3</v>
      </c>
      <c r="Q188" s="3">
        <v>3.7197243159468291E-2</v>
      </c>
      <c r="R188" s="3">
        <v>-1.5759951680594946E-2</v>
      </c>
      <c r="S188" s="3">
        <v>0</v>
      </c>
      <c r="T188" s="3">
        <v>-3.7711918249228333E-3</v>
      </c>
      <c r="U188" s="3">
        <v>1.1563886697015715E-3</v>
      </c>
      <c r="V188" s="3">
        <v>-3.0978904384902223E-2</v>
      </c>
      <c r="W188" s="3">
        <v>-8.9017771465512894E-4</v>
      </c>
      <c r="X188" s="3">
        <v>-3.1537124410231016E-2</v>
      </c>
      <c r="Y188" s="3">
        <v>-3.4901467398605608E-3</v>
      </c>
      <c r="Z188" s="3">
        <v>5.6925996204934062E-3</v>
      </c>
      <c r="AA188" s="3">
        <v>8.4987906327450638E-3</v>
      </c>
      <c r="AB188" s="3">
        <v>-1.9202160346523157E-3</v>
      </c>
      <c r="AC188" s="3">
        <v>-5.4437048119267877E-3</v>
      </c>
      <c r="AD188" s="3">
        <v>-2.0242906335466073E-3</v>
      </c>
      <c r="AE188" s="3">
        <v>-8.5162553662362188E-3</v>
      </c>
      <c r="AF188" s="3">
        <v>1.1136699940394691E-2</v>
      </c>
      <c r="AG188" s="3">
        <v>7.9574709125787048E-3</v>
      </c>
      <c r="AH188" s="3">
        <v>4.8272961940350245E-2</v>
      </c>
      <c r="AI188" s="3">
        <v>4.9720159556679987E-2</v>
      </c>
      <c r="AJ188" s="3">
        <v>7.5809412803099921E-3</v>
      </c>
      <c r="AK188" s="3">
        <v>-6.443914081145595E-2</v>
      </c>
      <c r="AL188" s="3">
        <v>2.4344033760288311E-4</v>
      </c>
      <c r="AM188" s="3">
        <v>-1.0646036502700571E-2</v>
      </c>
      <c r="AN188" s="3">
        <v>-7.4392775298114371E-3</v>
      </c>
    </row>
    <row r="189" spans="1:40" x14ac:dyDescent="0.3">
      <c r="A189" s="101">
        <v>44582</v>
      </c>
      <c r="B189" s="3">
        <v>1.9565628558298583E-2</v>
      </c>
      <c r="C189" s="3">
        <v>7.3868954330293347E-3</v>
      </c>
      <c r="D189" s="3">
        <v>-9.646459731878821E-3</v>
      </c>
      <c r="E189" s="3">
        <v>1.1632604070344159E-2</v>
      </c>
      <c r="F189" s="3">
        <v>-6.4102311053998691E-3</v>
      </c>
      <c r="G189" s="3">
        <v>1.0301876614743069E-2</v>
      </c>
      <c r="H189" s="3">
        <v>1.6116092917119274E-3</v>
      </c>
      <c r="I189" s="3">
        <v>5.2653169472641778E-4</v>
      </c>
      <c r="J189" s="3">
        <v>-8.6701778877161777E-3</v>
      </c>
      <c r="K189" s="3">
        <v>0</v>
      </c>
      <c r="L189" s="3">
        <v>5.8956564453934608E-3</v>
      </c>
      <c r="M189" s="3">
        <v>9.0880303989867003E-2</v>
      </c>
      <c r="N189" s="3">
        <v>1.723257557685292E-2</v>
      </c>
      <c r="O189" s="3">
        <v>-1.8747158523268934E-3</v>
      </c>
      <c r="P189" s="3">
        <v>5.2854122621553957E-4</v>
      </c>
      <c r="Q189" s="3">
        <v>0</v>
      </c>
      <c r="R189" s="3">
        <v>-2.8692208809222183E-2</v>
      </c>
      <c r="S189" s="3">
        <v>0</v>
      </c>
      <c r="T189" s="3">
        <v>-5.362737728847009E-3</v>
      </c>
      <c r="U189" s="3">
        <v>1.293586454218151E-2</v>
      </c>
      <c r="V189" s="3">
        <v>0</v>
      </c>
      <c r="W189" s="3">
        <v>2.2451928337452642E-2</v>
      </c>
      <c r="X189" s="3">
        <v>7.4359230769229902E-3</v>
      </c>
      <c r="Y189" s="3">
        <v>-1.4415497041152714E-2</v>
      </c>
      <c r="Z189" s="3">
        <v>-7.5471698113207617E-3</v>
      </c>
      <c r="AA189" s="3">
        <v>5.4949015692266493E-3</v>
      </c>
      <c r="AB189" s="3">
        <v>1.7759409066557446E-3</v>
      </c>
      <c r="AC189" s="3">
        <v>4.0676428084814698E-4</v>
      </c>
      <c r="AD189" s="3">
        <v>-1.4198776885883909E-2</v>
      </c>
      <c r="AE189" s="3">
        <v>6.3991302952645102E-3</v>
      </c>
      <c r="AF189" s="3">
        <v>1.9405509100510025E-2</v>
      </c>
      <c r="AG189" s="3">
        <v>6.1404388658086815E-3</v>
      </c>
      <c r="AH189" s="3">
        <v>-1.3487514101155363E-2</v>
      </c>
      <c r="AI189" s="3">
        <v>-6.229311433982399E-3</v>
      </c>
      <c r="AJ189" s="3">
        <v>-9.8927303225782425E-3</v>
      </c>
      <c r="AK189" s="3">
        <v>7.1428571428571494E-2</v>
      </c>
      <c r="AL189" s="3">
        <v>3.9219233085339865E-3</v>
      </c>
      <c r="AM189" s="3">
        <v>-1.9189851829970388E-3</v>
      </c>
      <c r="AN189" s="3">
        <v>4.7759713521177173E-3</v>
      </c>
    </row>
    <row r="190" spans="1:40" x14ac:dyDescent="0.3">
      <c r="A190" s="101">
        <v>44585</v>
      </c>
      <c r="B190" s="3">
        <v>1.8722765224231134E-3</v>
      </c>
      <c r="C190" s="3">
        <v>1.0999059527679404E-2</v>
      </c>
      <c r="D190" s="3">
        <v>-4.2207728827323335E-2</v>
      </c>
      <c r="E190" s="3">
        <v>1.4417640814981781E-2</v>
      </c>
      <c r="F190" s="3">
        <v>1.3363976320125774E-2</v>
      </c>
      <c r="G190" s="3">
        <v>-1.2172958466951916E-2</v>
      </c>
      <c r="H190" s="3">
        <v>1.2352403022957259E-3</v>
      </c>
      <c r="I190" s="3">
        <v>2.1052880176356519E-3</v>
      </c>
      <c r="J190" s="3">
        <v>9.1005439418015838E-3</v>
      </c>
      <c r="K190" s="3">
        <v>0</v>
      </c>
      <c r="L190" s="3">
        <v>1.1632604070344159E-2</v>
      </c>
      <c r="M190" s="3">
        <v>-0.11930333817126269</v>
      </c>
      <c r="N190" s="3">
        <v>1.1090818914800359E-3</v>
      </c>
      <c r="O190" s="3">
        <v>2.0323337206304536E-2</v>
      </c>
      <c r="P190" s="3">
        <v>7.078711040676175E-2</v>
      </c>
      <c r="Q190" s="3">
        <v>-1.6680530682717944E-2</v>
      </c>
      <c r="R190" s="3">
        <v>5.8577439487460282E-2</v>
      </c>
      <c r="S190" s="3">
        <v>1.2609925471612118E-3</v>
      </c>
      <c r="T190" s="3">
        <v>9.514709697368038E-3</v>
      </c>
      <c r="U190" s="3">
        <v>-6.6133652382408979E-3</v>
      </c>
      <c r="V190" s="3">
        <v>0</v>
      </c>
      <c r="W190" s="3">
        <v>-6.6225313746641149E-3</v>
      </c>
      <c r="X190" s="3">
        <v>-2.036192363547999E-3</v>
      </c>
      <c r="Y190" s="3">
        <v>-2.1681985081958968E-2</v>
      </c>
      <c r="Z190" s="3">
        <v>-9.5057034220531987E-3</v>
      </c>
      <c r="AA190" s="3">
        <v>-2.4383663360340486E-2</v>
      </c>
      <c r="AB190" s="3">
        <v>-1.6103985342062286E-2</v>
      </c>
      <c r="AC190" s="3">
        <v>1.2828099815157208E-2</v>
      </c>
      <c r="AD190" s="3">
        <v>-6.1728006553685537E-3</v>
      </c>
      <c r="AE190" s="3">
        <v>2.1977062142442471E-3</v>
      </c>
      <c r="AF190" s="3">
        <v>1.4234430055484085E-2</v>
      </c>
      <c r="AG190" s="3">
        <v>-2.0052353092748269E-2</v>
      </c>
      <c r="AH190" s="3">
        <v>1.5722721165370577E-2</v>
      </c>
      <c r="AI190" s="3">
        <v>1.1858975104500326E-2</v>
      </c>
      <c r="AJ190" s="3">
        <v>-2.8845874359398754E-3</v>
      </c>
      <c r="AK190" s="3">
        <v>0.16190476190476183</v>
      </c>
      <c r="AL190" s="3">
        <v>8.4549098375066908E-3</v>
      </c>
      <c r="AM190" s="3">
        <v>1.3656453904389066E-3</v>
      </c>
      <c r="AN190" s="3">
        <v>-2.6726159748436617E-3</v>
      </c>
    </row>
    <row r="191" spans="1:40" x14ac:dyDescent="0.3">
      <c r="A191" s="101">
        <v>44586</v>
      </c>
      <c r="B191" s="3">
        <v>-7.2412439632686034E-3</v>
      </c>
      <c r="C191" s="3">
        <v>-6.1196974050124415E-3</v>
      </c>
      <c r="D191" s="3">
        <v>2.3728750227168069E-2</v>
      </c>
      <c r="E191" s="3">
        <v>-6.6705102370678993E-3</v>
      </c>
      <c r="F191" s="3">
        <v>-2.1828044020619296E-2</v>
      </c>
      <c r="G191" s="3">
        <v>4.0249651594385469E-2</v>
      </c>
      <c r="H191" s="3">
        <v>2.979407247283631E-3</v>
      </c>
      <c r="I191" s="3">
        <v>-1.6806759313499068E-2</v>
      </c>
      <c r="J191" s="3">
        <v>-2.5767112099840512E-3</v>
      </c>
      <c r="K191" s="3">
        <v>0</v>
      </c>
      <c r="L191" s="3">
        <v>1.4417640814981781E-2</v>
      </c>
      <c r="M191" s="3">
        <v>0.16661173368490442</v>
      </c>
      <c r="N191" s="3">
        <v>-1.5008029283684594E-2</v>
      </c>
      <c r="O191" s="3">
        <v>-1.2358586783506887E-2</v>
      </c>
      <c r="P191" s="3">
        <v>-9.866798223976285E-3</v>
      </c>
      <c r="Q191" s="3">
        <v>2.8837965964695771E-2</v>
      </c>
      <c r="R191" s="3">
        <v>0</v>
      </c>
      <c r="S191" s="3">
        <v>1.4564096230428468E-3</v>
      </c>
      <c r="T191" s="3">
        <v>-1.508015473393339E-2</v>
      </c>
      <c r="U191" s="3">
        <v>2.9843469895360071E-3</v>
      </c>
      <c r="V191" s="3">
        <v>1.9181545408068049E-2</v>
      </c>
      <c r="W191" s="3">
        <v>-1.5438619867286639E-2</v>
      </c>
      <c r="X191" s="3">
        <v>1.0201734511647556E-3</v>
      </c>
      <c r="Y191" s="3">
        <v>1.6687712587839718E-2</v>
      </c>
      <c r="Z191" s="3">
        <v>-6.7178502879078972E-3</v>
      </c>
      <c r="AA191" s="3">
        <v>2.4238689368014012E-3</v>
      </c>
      <c r="AB191" s="3">
        <v>-1.7644016762168785E-2</v>
      </c>
      <c r="AC191" s="3">
        <v>-1.4599919645948726E-3</v>
      </c>
      <c r="AD191" s="3">
        <v>7.5914266501301911E-3</v>
      </c>
      <c r="AE191" s="3">
        <v>-2.710242851771524E-2</v>
      </c>
      <c r="AF191" s="3">
        <v>3.1450678104841923E-2</v>
      </c>
      <c r="AG191" s="3">
        <v>2.2242437722419122E-3</v>
      </c>
      <c r="AH191" s="3">
        <v>-8.2684784148529047E-3</v>
      </c>
      <c r="AI191" s="3">
        <v>-1.4956993468635211E-2</v>
      </c>
      <c r="AJ191" s="3">
        <v>1.6088950874004953E-2</v>
      </c>
      <c r="AK191" s="3">
        <v>-2.8688524590163869E-2</v>
      </c>
      <c r="AL191" s="3">
        <v>3.0208397849018887E-3</v>
      </c>
      <c r="AM191" s="3">
        <v>-1.0658917762868637E-2</v>
      </c>
      <c r="AN191" s="3">
        <v>1.2141587119459953E-2</v>
      </c>
    </row>
    <row r="192" spans="1:40" x14ac:dyDescent="0.3">
      <c r="A192" s="101">
        <v>44587</v>
      </c>
      <c r="B192" s="3">
        <v>1.1764547735705932E-2</v>
      </c>
      <c r="C192" s="3">
        <v>2.8962404537832293E-2</v>
      </c>
      <c r="D192" s="3">
        <v>1.3245140788311007E-2</v>
      </c>
      <c r="E192" s="3">
        <v>5.4863963145718106E-3</v>
      </c>
      <c r="F192" s="3">
        <v>3.7191595461452593E-3</v>
      </c>
      <c r="G192" s="3">
        <v>3.4076865384615365E-2</v>
      </c>
      <c r="H192" s="3">
        <v>-1.0067280628992187E-3</v>
      </c>
      <c r="I192" s="3">
        <v>-3.0982971233158935E-2</v>
      </c>
      <c r="J192" s="3">
        <v>-7.2803024031417958E-3</v>
      </c>
      <c r="K192" s="3">
        <v>-1.749999999999996E-2</v>
      </c>
      <c r="L192" s="3">
        <v>-6.6705102370678993E-3</v>
      </c>
      <c r="M192" s="3">
        <v>0.31854781748834582</v>
      </c>
      <c r="N192" s="3">
        <v>9.5102194524379589E-3</v>
      </c>
      <c r="O192" s="3">
        <v>4.5926381115758107E-3</v>
      </c>
      <c r="P192" s="3">
        <v>-4.9826108619830042E-3</v>
      </c>
      <c r="Q192" s="3">
        <v>-1.6487907145859824E-3</v>
      </c>
      <c r="R192" s="3">
        <v>1.2094798542105175E-2</v>
      </c>
      <c r="S192" s="3">
        <v>3.64588243057521E-4</v>
      </c>
      <c r="T192" s="3">
        <v>-3.8277297064727325E-3</v>
      </c>
      <c r="U192" s="3">
        <v>1.1673232266699994E-2</v>
      </c>
      <c r="V192" s="3">
        <v>-8.7829732170537408E-3</v>
      </c>
      <c r="W192" s="3">
        <v>2.4233738022368577E-2</v>
      </c>
      <c r="X192" s="3">
        <v>-5.8598726114648886E-3</v>
      </c>
      <c r="Y192" s="3">
        <v>2.7546170259768722E-2</v>
      </c>
      <c r="Z192" s="3">
        <v>2.2222222222222265E-2</v>
      </c>
      <c r="AA192" s="3">
        <v>-1.3493693523489213E-2</v>
      </c>
      <c r="AB192" s="3">
        <v>-8.6363527713688576E-3</v>
      </c>
      <c r="AC192" s="3">
        <v>-1.5279423522476901E-2</v>
      </c>
      <c r="AD192" s="3">
        <v>-1.7123327999093711E-2</v>
      </c>
      <c r="AE192" s="3">
        <v>-8.7095673486016142E-3</v>
      </c>
      <c r="AF192" s="3">
        <v>1.885249974037231E-2</v>
      </c>
      <c r="AG192" s="3">
        <v>-1.5534886128056494E-2</v>
      </c>
      <c r="AH192" s="3">
        <v>1.7934998904096281E-2</v>
      </c>
      <c r="AI192" s="3">
        <v>-8.6118829372619984E-3</v>
      </c>
      <c r="AJ192" s="3">
        <v>7.6394513826515227E-3</v>
      </c>
      <c r="AK192" s="3">
        <v>-5.9071729957805956E-2</v>
      </c>
      <c r="AL192" s="3">
        <v>-5.2200667727934878E-3</v>
      </c>
      <c r="AM192" s="3">
        <v>-5.6590413305870448E-3</v>
      </c>
      <c r="AN192" s="3">
        <v>5.9208131350301117E-3</v>
      </c>
    </row>
    <row r="193" spans="1:40" x14ac:dyDescent="0.3">
      <c r="A193" s="101">
        <v>44588</v>
      </c>
      <c r="B193" s="3">
        <v>3.023409031246295E-3</v>
      </c>
      <c r="C193" s="3">
        <v>4.875881570005884E-3</v>
      </c>
      <c r="D193" s="3">
        <v>2.2875754922180993E-2</v>
      </c>
      <c r="E193" s="3">
        <v>-2.9333389709058712E-2</v>
      </c>
      <c r="F193" s="3">
        <v>6.0213085068444279E-3</v>
      </c>
      <c r="G193" s="3">
        <v>4.7609539217969184E-3</v>
      </c>
      <c r="H193" s="3">
        <v>6.4935525764855278E-4</v>
      </c>
      <c r="I193" s="3">
        <v>-4.9612866815305807E-3</v>
      </c>
      <c r="J193" s="3">
        <v>2.0107985414085376E-3</v>
      </c>
      <c r="K193" s="3">
        <v>1.6539440203562326E-2</v>
      </c>
      <c r="L193" s="3">
        <v>5.4863963145718106E-3</v>
      </c>
      <c r="M193" s="3">
        <v>-0.22284122562674094</v>
      </c>
      <c r="N193" s="3">
        <v>3.2414624413957985E-3</v>
      </c>
      <c r="O193" s="3">
        <v>2.8489826332051505E-3</v>
      </c>
      <c r="P193" s="3">
        <v>1.2018027642364851E-2</v>
      </c>
      <c r="Q193" s="3">
        <v>-2.3947259331359893E-2</v>
      </c>
      <c r="R193" s="3">
        <v>-1.6246225123268773E-2</v>
      </c>
      <c r="S193" s="3">
        <v>-6.7802961063321676E-4</v>
      </c>
      <c r="T193" s="3">
        <v>-4.1626649024675425E-3</v>
      </c>
      <c r="U193" s="3">
        <v>-1.0181040663625031E-2</v>
      </c>
      <c r="V193" s="3">
        <v>-2.5316369622908733E-2</v>
      </c>
      <c r="W193" s="3">
        <v>2.1920707650974008E-2</v>
      </c>
      <c r="X193" s="3">
        <v>2.5115325474115754E-2</v>
      </c>
      <c r="Y193" s="3">
        <v>-1.0178906679449333E-2</v>
      </c>
      <c r="Z193" s="3">
        <v>-1.8903591682419594E-2</v>
      </c>
      <c r="AA193" s="3">
        <v>-7.7218321629829636E-3</v>
      </c>
      <c r="AB193" s="3">
        <v>1.2334929153479067E-3</v>
      </c>
      <c r="AC193" s="3">
        <v>-2.9065728364134052E-2</v>
      </c>
      <c r="AD193" s="3">
        <v>-7.3170517474769057E-3</v>
      </c>
      <c r="AE193" s="3">
        <v>3.1612195227536992E-2</v>
      </c>
      <c r="AF193" s="3">
        <v>8.6885751426809561E-3</v>
      </c>
      <c r="AG193" s="3">
        <v>3.6068530207394884E-3</v>
      </c>
      <c r="AH193" s="3">
        <v>2.0476249762338309E-2</v>
      </c>
      <c r="AI193" s="3">
        <v>1.7373472135711686E-2</v>
      </c>
      <c r="AJ193" s="3">
        <v>-2.1159337249273734E-2</v>
      </c>
      <c r="AK193" s="3">
        <v>2.9147982062780246E-2</v>
      </c>
      <c r="AL193" s="3">
        <v>-7.5855090913894124E-3</v>
      </c>
      <c r="AM193" s="3">
        <v>-1.45926825420229E-2</v>
      </c>
      <c r="AN193" s="3">
        <v>-2.3535056312424682E-2</v>
      </c>
    </row>
    <row r="194" spans="1:40" x14ac:dyDescent="0.3">
      <c r="A194" s="101">
        <v>44589</v>
      </c>
      <c r="B194" s="3">
        <v>-8.5788161029918906E-3</v>
      </c>
      <c r="C194" s="3">
        <v>2.1173421896992659E-2</v>
      </c>
      <c r="D194" s="3">
        <v>-9.5848220574487504E-3</v>
      </c>
      <c r="E194" s="3">
        <v>1.4480457652726878E-2</v>
      </c>
      <c r="F194" s="3">
        <v>-3.683200962472895E-3</v>
      </c>
      <c r="G194" s="3">
        <v>-1.8515953662037163E-4</v>
      </c>
      <c r="H194" s="3">
        <v>1.1312016624054617E-3</v>
      </c>
      <c r="I194" s="3">
        <v>1.828252231459607E-2</v>
      </c>
      <c r="J194" s="3">
        <v>4.7223525864450343E-4</v>
      </c>
      <c r="K194" s="3">
        <v>0</v>
      </c>
      <c r="L194" s="3">
        <v>-2.9333389709058712E-2</v>
      </c>
      <c r="M194" s="3">
        <v>0.26716294458229944</v>
      </c>
      <c r="N194" s="3">
        <v>1.544834133536317E-2</v>
      </c>
      <c r="O194" s="3">
        <v>3.1051873771477051E-3</v>
      </c>
      <c r="P194" s="3">
        <v>-2.3750570200424027E-2</v>
      </c>
      <c r="Q194" s="3">
        <v>-5.0760989514243415E-3</v>
      </c>
      <c r="R194" s="3">
        <v>1.071859563654E-2</v>
      </c>
      <c r="S194" s="3">
        <v>-8.1410490291111259E-3</v>
      </c>
      <c r="T194" s="3">
        <v>2.7009688972873033E-2</v>
      </c>
      <c r="U194" s="3">
        <v>1.1657130409774948E-2</v>
      </c>
      <c r="V194" s="3">
        <v>7.7921484171602946E-3</v>
      </c>
      <c r="W194" s="3">
        <v>-8.0694774971811715E-3</v>
      </c>
      <c r="X194" s="3">
        <v>1.7749975000000084E-2</v>
      </c>
      <c r="Y194" s="3">
        <v>1.6443573360001039E-2</v>
      </c>
      <c r="Z194" s="3">
        <v>2.7938342967244616E-2</v>
      </c>
      <c r="AA194" s="3">
        <v>-8.5498457284568799E-2</v>
      </c>
      <c r="AB194" s="3">
        <v>-2.9799020540855297E-2</v>
      </c>
      <c r="AC194" s="3">
        <v>-4.7025959986434565E-3</v>
      </c>
      <c r="AD194" s="3">
        <v>-2.1060048855821373E-2</v>
      </c>
      <c r="AE194" s="3">
        <v>-6.4261409189880062E-2</v>
      </c>
      <c r="AF194" s="3">
        <v>5.5032787346846808E-2</v>
      </c>
      <c r="AG194" s="3">
        <v>-2.6953728661276389E-3</v>
      </c>
      <c r="AH194" s="3">
        <v>-1.7265564619277664E-2</v>
      </c>
      <c r="AI194" s="3">
        <v>-3.2580977877089304E-3</v>
      </c>
      <c r="AJ194" s="3">
        <v>-3.7670785072376957E-2</v>
      </c>
      <c r="AK194" s="3">
        <v>-9.1503267973856203E-2</v>
      </c>
      <c r="AL194" s="3">
        <v>-1.725726050865015E-2</v>
      </c>
      <c r="AM194" s="3">
        <v>-1.1920962470304478E-2</v>
      </c>
      <c r="AN194" s="3">
        <v>-2.1280606211902038E-2</v>
      </c>
    </row>
    <row r="195" spans="1:40" x14ac:dyDescent="0.3">
      <c r="A195" s="101">
        <v>44592</v>
      </c>
      <c r="B195" s="3">
        <v>9.3544509817726702E-4</v>
      </c>
      <c r="C195" s="3">
        <v>-6.4794943640343536E-3</v>
      </c>
      <c r="D195" s="3">
        <v>9.6775799391118737E-3</v>
      </c>
      <c r="E195" s="3">
        <v>4.4948638614487842E-2</v>
      </c>
      <c r="F195" s="3">
        <v>1.8022187398682592E-2</v>
      </c>
      <c r="G195" s="3">
        <v>2.7879592400749387E-2</v>
      </c>
      <c r="H195" s="3">
        <v>-1.4168319637291029E-3</v>
      </c>
      <c r="I195" s="3">
        <v>-8.1610990177452322E-3</v>
      </c>
      <c r="J195" s="3">
        <v>1.7699880108835828E-3</v>
      </c>
      <c r="K195" s="3">
        <v>-1.2515644555694352E-3</v>
      </c>
      <c r="L195" s="3">
        <v>1.4480457652726878E-2</v>
      </c>
      <c r="M195" s="3">
        <v>0.12206266318537859</v>
      </c>
      <c r="N195" s="3">
        <v>-3.2813690556502966E-3</v>
      </c>
      <c r="O195" s="3">
        <v>-1.5148091682938981E-3</v>
      </c>
      <c r="P195" s="3">
        <v>5.0684237202229029E-3</v>
      </c>
      <c r="Q195" s="3">
        <v>2.0408204542701831E-2</v>
      </c>
      <c r="R195" s="3">
        <v>-8.2482318101194021E-3</v>
      </c>
      <c r="S195" s="3">
        <v>-9.9076496334742237E-3</v>
      </c>
      <c r="T195" s="3">
        <v>-9.7057458675844539E-3</v>
      </c>
      <c r="U195" s="3">
        <v>2.2819694700412427E-2</v>
      </c>
      <c r="V195" s="3">
        <v>2.4484563933371062E-2</v>
      </c>
      <c r="W195" s="3">
        <v>-9.7140093504237413E-3</v>
      </c>
      <c r="X195" s="3">
        <v>-1.3755760593361909E-2</v>
      </c>
      <c r="Y195" s="3">
        <v>-6.5113191122636075E-4</v>
      </c>
      <c r="Z195" s="3">
        <v>-4.6860356138707319E-3</v>
      </c>
      <c r="AA195" s="3">
        <v>-2.1917428480505433E-2</v>
      </c>
      <c r="AB195" s="3">
        <v>-1.1111291277692335E-3</v>
      </c>
      <c r="AC195" s="3">
        <v>2.1242262805475334E-2</v>
      </c>
      <c r="AD195" s="3">
        <v>5.3783641248760809E-3</v>
      </c>
      <c r="AE195" s="3">
        <v>-4.8961772889136786E-2</v>
      </c>
      <c r="AF195" s="3">
        <v>-2.6761450494794777E-2</v>
      </c>
      <c r="AG195" s="3">
        <v>-7.6576573127182159E-3</v>
      </c>
      <c r="AH195" s="3">
        <v>-2.8490110744189214E-3</v>
      </c>
      <c r="AI195" s="3">
        <v>-2.0851885316601E-3</v>
      </c>
      <c r="AJ195" s="3">
        <v>-3.9509978173447834E-3</v>
      </c>
      <c r="AK195" s="3">
        <v>-0.12470023980815348</v>
      </c>
      <c r="AL195" s="3">
        <v>2.8960132435003343E-3</v>
      </c>
      <c r="AM195" s="3">
        <v>2.3174330862798197E-2</v>
      </c>
      <c r="AN195" s="3">
        <v>4.32605611915366E-3</v>
      </c>
    </row>
    <row r="196" spans="1:40" x14ac:dyDescent="0.3">
      <c r="A196" s="101">
        <v>44593</v>
      </c>
      <c r="B196" s="3">
        <v>2.3831823370807512E-2</v>
      </c>
      <c r="C196" s="3">
        <v>-2.3913563020838877E-3</v>
      </c>
      <c r="D196" s="3">
        <v>-2.2364157926415364E-2</v>
      </c>
      <c r="E196" s="3">
        <v>-3.6906586435598271E-2</v>
      </c>
      <c r="F196" s="3">
        <v>-2.8597342728231848E-2</v>
      </c>
      <c r="G196" s="3">
        <v>4.9528132870977105E-2</v>
      </c>
      <c r="H196" s="3">
        <v>4.9198354143020259E-3</v>
      </c>
      <c r="I196" s="3">
        <v>-1.0970775992735801E-3</v>
      </c>
      <c r="J196" s="3">
        <v>8.7159357658725314E-3</v>
      </c>
      <c r="K196" s="3">
        <v>-1.1278195488721898E-2</v>
      </c>
      <c r="L196" s="3">
        <v>4.4948638614487842E-2</v>
      </c>
      <c r="M196" s="3">
        <v>-0.5960829939887532</v>
      </c>
      <c r="N196" s="3">
        <v>7.3823515600569102E-3</v>
      </c>
      <c r="O196" s="3">
        <v>7.8495389450933973E-3</v>
      </c>
      <c r="P196" s="3">
        <v>3.0256681795260338E-3</v>
      </c>
      <c r="Q196" s="3">
        <v>-8.3332623195268001E-3</v>
      </c>
      <c r="R196" s="3">
        <v>-4.3564757275243171E-3</v>
      </c>
      <c r="S196" s="3">
        <v>-1.7374774025881699E-3</v>
      </c>
      <c r="T196" s="3">
        <v>-1.2330068846013936E-2</v>
      </c>
      <c r="U196" s="3">
        <v>-4.4175993081954233E-4</v>
      </c>
      <c r="V196" s="3">
        <v>0</v>
      </c>
      <c r="W196" s="3">
        <v>-1.7920279617639572E-2</v>
      </c>
      <c r="X196" s="3">
        <v>8.4682436628520288E-3</v>
      </c>
      <c r="Y196" s="3">
        <v>-1.3281180841383116E-2</v>
      </c>
      <c r="Z196" s="3">
        <v>-2.7306967984934007E-2</v>
      </c>
      <c r="AA196" s="3">
        <v>6.1788069081270554E-2</v>
      </c>
      <c r="AB196" s="3">
        <v>-4.0522746057173936E-3</v>
      </c>
      <c r="AC196" s="3">
        <v>-5.830087592910935E-3</v>
      </c>
      <c r="AD196" s="3">
        <v>2.7104035581943787E-2</v>
      </c>
      <c r="AE196" s="3">
        <v>-5.0015293842009916E-3</v>
      </c>
      <c r="AF196" s="3">
        <v>1.9108194999238999E-2</v>
      </c>
      <c r="AG196" s="3">
        <v>1.3163821463285531E-2</v>
      </c>
      <c r="AH196" s="3">
        <v>-3.0476182203704755E-2</v>
      </c>
      <c r="AI196" s="3">
        <v>-4.8004188886896851E-3</v>
      </c>
      <c r="AJ196" s="3">
        <v>-3.5258373064639757E-3</v>
      </c>
      <c r="AK196" s="3">
        <v>7.3972602739726029E-2</v>
      </c>
      <c r="AL196" s="3">
        <v>1.1739084358566878E-2</v>
      </c>
      <c r="AM196" s="3">
        <v>1.3292957394431985E-2</v>
      </c>
      <c r="AN196" s="3">
        <v>-1.0946970945801651E-2</v>
      </c>
    </row>
    <row r="197" spans="1:40" x14ac:dyDescent="0.3">
      <c r="A197" s="101">
        <v>44594</v>
      </c>
      <c r="B197" s="3">
        <v>-8.2154692416027183E-3</v>
      </c>
      <c r="C197" s="3">
        <v>-4.358227691362633E-3</v>
      </c>
      <c r="D197" s="3">
        <v>4.24835916382688E-2</v>
      </c>
      <c r="E197" s="3">
        <v>1.8279570191539692E-2</v>
      </c>
      <c r="F197" s="3">
        <v>-2.3364549871237473E-2</v>
      </c>
      <c r="G197" s="3">
        <v>-2.189657517755059E-2</v>
      </c>
      <c r="H197" s="3">
        <v>2.2978606246933592E-3</v>
      </c>
      <c r="I197" s="3">
        <v>-5.4914125020126287E-3</v>
      </c>
      <c r="J197" s="3">
        <v>7.2396800586743137E-3</v>
      </c>
      <c r="K197" s="3">
        <v>8.871989860583053E-3</v>
      </c>
      <c r="L197" s="3">
        <v>-3.6906586435598271E-2</v>
      </c>
      <c r="M197" s="3">
        <v>-0.12337974075852136</v>
      </c>
      <c r="N197" s="3">
        <v>7.9215978482383436E-4</v>
      </c>
      <c r="O197" s="3">
        <v>-9.8175673735171123E-4</v>
      </c>
      <c r="P197" s="3">
        <v>3.318250543904E-2</v>
      </c>
      <c r="Q197" s="3">
        <v>7.5629605657035331E-3</v>
      </c>
      <c r="R197" s="3">
        <v>-5.568795767067875E-3</v>
      </c>
      <c r="S197" s="3">
        <v>-1.3218034347468684E-2</v>
      </c>
      <c r="T197" s="3">
        <v>9.6037464407895451E-4</v>
      </c>
      <c r="U197" s="3">
        <v>-1.1270706033215446E-2</v>
      </c>
      <c r="V197" s="3">
        <v>-1.0062920663325927E-2</v>
      </c>
      <c r="W197" s="3">
        <v>-1.4400176032749174E-2</v>
      </c>
      <c r="X197" s="3">
        <v>-3.358856341869277E-2</v>
      </c>
      <c r="Y197" s="3">
        <v>1.8285249434039034E-3</v>
      </c>
      <c r="Z197" s="3">
        <v>2.9041626331073921E-3</v>
      </c>
      <c r="AA197" s="3">
        <v>-8.0590823653122409E-2</v>
      </c>
      <c r="AB197" s="3">
        <v>-3.4782385202002719E-2</v>
      </c>
      <c r="AC197" s="3">
        <v>-3.639664058413717E-2</v>
      </c>
      <c r="AD197" s="3">
        <v>-2.0486060130575495E-2</v>
      </c>
      <c r="AE197" s="3">
        <v>-7.6004766465978188E-2</v>
      </c>
      <c r="AF197" s="3">
        <v>-4.7256029888070747E-2</v>
      </c>
      <c r="AG197" s="3">
        <v>-9.408557347670243E-3</v>
      </c>
      <c r="AH197" s="3">
        <v>7.0726920605499108E-2</v>
      </c>
      <c r="AI197" s="3">
        <v>7.3772637413911119E-3</v>
      </c>
      <c r="AJ197" s="3">
        <v>-8.1126142704865975E-4</v>
      </c>
      <c r="AK197" s="3">
        <v>-8.4183673469387779E-2</v>
      </c>
      <c r="AL197" s="3">
        <v>-3.0455743738749111E-2</v>
      </c>
      <c r="AM197" s="3">
        <v>-1.2124756197698702E-2</v>
      </c>
      <c r="AN197" s="3">
        <v>-3.2400382130251218E-2</v>
      </c>
    </row>
    <row r="198" spans="1:40" x14ac:dyDescent="0.3">
      <c r="A198" s="101">
        <v>44595</v>
      </c>
      <c r="B198" s="3">
        <v>4.602367694035451E-4</v>
      </c>
      <c r="C198" s="3">
        <v>1.7728214660568009E-2</v>
      </c>
      <c r="D198" s="3">
        <v>-9.4042291858747531E-3</v>
      </c>
      <c r="E198" s="3">
        <v>1.7345712562089492E-2</v>
      </c>
      <c r="F198" s="3">
        <v>4.7846836567329238E-3</v>
      </c>
      <c r="G198" s="3">
        <v>0.12596942439978343</v>
      </c>
      <c r="H198" s="3">
        <v>-4.8598736432858337E-4</v>
      </c>
      <c r="I198" s="3">
        <v>1.3252276237658156E-2</v>
      </c>
      <c r="J198" s="3">
        <v>-6.0283600492028709E-3</v>
      </c>
      <c r="K198" s="3">
        <v>-2.512562814070298E-3</v>
      </c>
      <c r="L198" s="3">
        <v>1.8279570191539692E-2</v>
      </c>
      <c r="M198" s="3">
        <v>0.49479737130339541</v>
      </c>
      <c r="N198" s="3">
        <v>1.0488951627617227E-2</v>
      </c>
      <c r="O198" s="3">
        <v>-1.3888753794851582E-2</v>
      </c>
      <c r="P198" s="3">
        <v>-7.2992217663855417E-3</v>
      </c>
      <c r="Q198" s="3">
        <v>-1.4178572077955984E-2</v>
      </c>
      <c r="R198" s="3">
        <v>0</v>
      </c>
      <c r="S198" s="3">
        <v>2.1288286785522005E-2</v>
      </c>
      <c r="T198" s="3">
        <v>6.7156233403054908E-3</v>
      </c>
      <c r="U198" s="3">
        <v>-5.3643466136725328E-3</v>
      </c>
      <c r="V198" s="3">
        <v>0</v>
      </c>
      <c r="W198" s="3">
        <v>-3.0438394490628347E-3</v>
      </c>
      <c r="X198" s="3">
        <v>-1.840022953232236E-2</v>
      </c>
      <c r="Y198" s="3">
        <v>1.5615503558722824E-2</v>
      </c>
      <c r="Z198" s="3">
        <v>2.0270270270270355E-2</v>
      </c>
      <c r="AA198" s="3">
        <v>-9.8501511798278173E-3</v>
      </c>
      <c r="AB198" s="3">
        <v>2.2314543256720352E-3</v>
      </c>
      <c r="AC198" s="3">
        <v>1.1504153979314919E-2</v>
      </c>
      <c r="AD198" s="3">
        <v>-1.9142102076978217E-2</v>
      </c>
      <c r="AE198" s="3">
        <v>3.4367356639298616E-2</v>
      </c>
      <c r="AF198" s="3">
        <v>3.1840002781934516E-2</v>
      </c>
      <c r="AG198" s="3">
        <v>-2.1709723124842869E-2</v>
      </c>
      <c r="AH198" s="3">
        <v>-5.5046030206704248E-3</v>
      </c>
      <c r="AI198" s="3">
        <v>-1.0590331888996848E-2</v>
      </c>
      <c r="AJ198" s="3">
        <v>-3.5853312337243673E-3</v>
      </c>
      <c r="AK198" s="3">
        <v>8.3565459610028554E-3</v>
      </c>
      <c r="AL198" s="3">
        <v>2.7075555026430339E-3</v>
      </c>
      <c r="AM198" s="3">
        <v>-1.4358946090529892E-2</v>
      </c>
      <c r="AN198" s="3">
        <v>1.170038844286349E-2</v>
      </c>
    </row>
    <row r="199" spans="1:40" x14ac:dyDescent="0.3">
      <c r="A199" s="101">
        <v>44596</v>
      </c>
      <c r="B199" s="3">
        <v>-1.3109509641341414E-2</v>
      </c>
      <c r="C199" s="3">
        <v>1.0752680520556434E-2</v>
      </c>
      <c r="D199" s="3">
        <v>2.8480842057729178E-2</v>
      </c>
      <c r="E199" s="3">
        <v>-3.0741042972026508E-2</v>
      </c>
      <c r="F199" s="3">
        <v>3.8095755554649492E-3</v>
      </c>
      <c r="G199" s="3">
        <v>-1.3898911750183254E-2</v>
      </c>
      <c r="H199" s="3">
        <v>-2.9243886970618999E-4</v>
      </c>
      <c r="I199" s="3">
        <v>-7.6294342429705127E-3</v>
      </c>
      <c r="J199" s="3">
        <v>-6.414615717047668E-3</v>
      </c>
      <c r="K199" s="3">
        <v>3.7783375314861437E-2</v>
      </c>
      <c r="L199" s="3">
        <v>1.7345712562089492E-2</v>
      </c>
      <c r="M199" s="3">
        <v>0.38193808389814987</v>
      </c>
      <c r="N199" s="3">
        <v>-2.9389790114368153E-4</v>
      </c>
      <c r="O199" s="3">
        <v>-8.105321880872601E-3</v>
      </c>
      <c r="P199" s="3">
        <v>-1.9117647058823385E-2</v>
      </c>
      <c r="Q199" s="3">
        <v>-5.0760989514243415E-3</v>
      </c>
      <c r="R199" s="3">
        <v>2.5520041253468431E-2</v>
      </c>
      <c r="S199" s="3">
        <v>1.321542341399954E-2</v>
      </c>
      <c r="T199" s="3">
        <v>-4.1296069756680031E-3</v>
      </c>
      <c r="U199" s="3">
        <v>2.9213750276305371E-3</v>
      </c>
      <c r="V199" s="3">
        <v>0</v>
      </c>
      <c r="W199" s="3">
        <v>5.2801755102315974E-2</v>
      </c>
      <c r="X199" s="3">
        <v>1.562087997917226E-2</v>
      </c>
      <c r="Y199" s="3">
        <v>5.2415533312156126E-3</v>
      </c>
      <c r="Z199" s="3">
        <v>3.4058656575212815E-2</v>
      </c>
      <c r="AA199" s="3">
        <v>6.3552908931389193E-2</v>
      </c>
      <c r="AB199" s="3">
        <v>5.3851360988515604E-2</v>
      </c>
      <c r="AC199" s="3">
        <v>2.8297527915098351E-2</v>
      </c>
      <c r="AD199" s="3">
        <v>2.927350962485769E-2</v>
      </c>
      <c r="AE199" s="3">
        <v>6.2784429830513022E-2</v>
      </c>
      <c r="AF199" s="3">
        <v>4.0936561632901353E-2</v>
      </c>
      <c r="AG199" s="3">
        <v>1.1095793393240421E-2</v>
      </c>
      <c r="AH199" s="3">
        <v>4.6126529780035957E-3</v>
      </c>
      <c r="AI199" s="3">
        <v>1.0988335647814438E-2</v>
      </c>
      <c r="AJ199" s="3">
        <v>2.1293908666329176E-2</v>
      </c>
      <c r="AK199" s="3">
        <v>8.2872928176795535E-2</v>
      </c>
      <c r="AL199" s="3">
        <v>2.1920975974372855E-2</v>
      </c>
      <c r="AM199" s="3">
        <v>2.1880002830323927E-2</v>
      </c>
      <c r="AN199" s="3">
        <v>1.7203797046813185E-2</v>
      </c>
    </row>
    <row r="200" spans="1:40" x14ac:dyDescent="0.3">
      <c r="A200" s="101">
        <v>44600</v>
      </c>
      <c r="B200" s="3">
        <v>6.9914338383560333E-4</v>
      </c>
      <c r="C200" s="3">
        <v>2.2978768668401574E-2</v>
      </c>
      <c r="D200" s="3">
        <v>1.8461533717929319E-2</v>
      </c>
      <c r="E200" s="3">
        <v>-1.3247990348971665E-2</v>
      </c>
      <c r="F200" s="3">
        <v>3.1309186735350304E-2</v>
      </c>
      <c r="G200" s="3">
        <v>1.0555244679349927E-2</v>
      </c>
      <c r="H200" s="3">
        <v>-1.8291586927329908E-3</v>
      </c>
      <c r="I200" s="3">
        <v>-2.7457062510064141E-3</v>
      </c>
      <c r="J200" s="3">
        <v>-1.8782855749802083E-3</v>
      </c>
      <c r="K200" s="3">
        <v>1.2135922330096828E-3</v>
      </c>
      <c r="L200" s="3">
        <v>-3.0741042972026508E-2</v>
      </c>
      <c r="M200" s="3">
        <v>0.16914103923647933</v>
      </c>
      <c r="N200" s="3">
        <v>1.3125815342626522E-2</v>
      </c>
      <c r="O200" s="3">
        <v>-2.6120379779229919E-3</v>
      </c>
      <c r="P200" s="3">
        <v>-8.4957521239381155E-3</v>
      </c>
      <c r="Q200" s="3">
        <v>1.7006765489092326E-2</v>
      </c>
      <c r="R200" s="3">
        <v>1.4197513749445195E-2</v>
      </c>
      <c r="S200" s="3">
        <v>1.6604528133995398E-2</v>
      </c>
      <c r="T200" s="3">
        <v>-1.2758776830241729E-3</v>
      </c>
      <c r="U200" s="3">
        <v>4.0331704352232966E-3</v>
      </c>
      <c r="V200" s="3">
        <v>0</v>
      </c>
      <c r="W200" s="3">
        <v>-1.8423813157164921E-2</v>
      </c>
      <c r="X200" s="3">
        <v>1.7431454367159854E-2</v>
      </c>
      <c r="Y200" s="3">
        <v>-3.4563197958067199E-2</v>
      </c>
      <c r="Z200" s="3">
        <v>-8.2342177493138023E-3</v>
      </c>
      <c r="AA200" s="3">
        <v>-4.4527636218290534E-2</v>
      </c>
      <c r="AB200" s="3">
        <v>-2.0893764802700554E-2</v>
      </c>
      <c r="AC200" s="3">
        <v>-2.2309478354014953E-2</v>
      </c>
      <c r="AD200" s="3">
        <v>-2.8090369304583215E-3</v>
      </c>
      <c r="AE200" s="3">
        <v>-7.2898539520347125E-2</v>
      </c>
      <c r="AF200" s="3">
        <v>2.368543726304552E-2</v>
      </c>
      <c r="AG200" s="3">
        <v>4.5715590045025884E-4</v>
      </c>
      <c r="AH200" s="3">
        <v>-7.2543634404723792E-2</v>
      </c>
      <c r="AI200" s="3">
        <v>-7.1522053201805011E-3</v>
      </c>
      <c r="AJ200" s="3">
        <v>-4.5768363987043195E-3</v>
      </c>
      <c r="AK200" s="3">
        <v>-3.5714285714285747E-2</v>
      </c>
      <c r="AL200" s="3">
        <v>-2.7239840308238119E-3</v>
      </c>
      <c r="AM200" s="3">
        <v>-5.1213277698314687E-3</v>
      </c>
      <c r="AN200" s="3">
        <v>-1.6404266085871085E-2</v>
      </c>
    </row>
    <row r="201" spans="1:40" x14ac:dyDescent="0.3">
      <c r="A201" s="101">
        <v>44601</v>
      </c>
      <c r="B201" s="3">
        <v>-9.3152380082186237E-3</v>
      </c>
      <c r="C201" s="3">
        <v>-5.4076990808075293E-3</v>
      </c>
      <c r="D201" s="3">
        <v>3.0210968164802389E-3</v>
      </c>
      <c r="E201" s="3">
        <v>-1.129201045473229E-2</v>
      </c>
      <c r="F201" s="3">
        <v>-2.0239150826528385E-2</v>
      </c>
      <c r="G201" s="3">
        <v>6.9518753368690858E-2</v>
      </c>
      <c r="H201" s="3">
        <v>1.5888820625806716E-3</v>
      </c>
      <c r="I201" s="3">
        <v>1.1013232882519187E-2</v>
      </c>
      <c r="J201" s="3">
        <v>4.2338291700866199E-3</v>
      </c>
      <c r="K201" s="3">
        <v>3.6363636363635587E-3</v>
      </c>
      <c r="L201" s="3">
        <v>-1.3247990348971665E-2</v>
      </c>
      <c r="M201" s="3">
        <v>-0.57188208616780045</v>
      </c>
      <c r="N201" s="3">
        <v>2.1753736722925524E-2</v>
      </c>
      <c r="O201" s="3">
        <v>-5.3724581980971603E-3</v>
      </c>
      <c r="P201" s="3">
        <v>1.5121471774192849E-3</v>
      </c>
      <c r="Q201" s="3">
        <v>7.5251256275123864E-3</v>
      </c>
      <c r="R201" s="3">
        <v>-7.6715413085882788E-5</v>
      </c>
      <c r="S201" s="3">
        <v>-3.3333207033965128E-3</v>
      </c>
      <c r="T201" s="3">
        <v>6.3875381324735535E-4</v>
      </c>
      <c r="U201" s="3">
        <v>1.5621447029708028E-3</v>
      </c>
      <c r="V201" s="3">
        <v>-6.7344361492976512E-2</v>
      </c>
      <c r="W201" s="3">
        <v>-1.8630504912558157E-2</v>
      </c>
      <c r="X201" s="3">
        <v>-1.6628874190699871E-2</v>
      </c>
      <c r="Y201" s="3">
        <v>-8.7443905407254465E-3</v>
      </c>
      <c r="Z201" s="3">
        <v>-5.5350553505535511E-3</v>
      </c>
      <c r="AA201" s="3">
        <v>-4.8423759071144039E-2</v>
      </c>
      <c r="AB201" s="3">
        <v>-2.4456491717338796E-2</v>
      </c>
      <c r="AC201" s="3">
        <v>-1.3860988416988469E-2</v>
      </c>
      <c r="AD201" s="3">
        <v>1.6901401964384971E-2</v>
      </c>
      <c r="AE201" s="3">
        <v>-5.1761778754065901E-2</v>
      </c>
      <c r="AF201" s="3">
        <v>3.1868421926155896E-2</v>
      </c>
      <c r="AG201" s="3">
        <v>-9.1407225384243299E-3</v>
      </c>
      <c r="AH201" s="3">
        <v>1.4851426537216278E-2</v>
      </c>
      <c r="AI201" s="3">
        <v>-1.0323241938114742E-2</v>
      </c>
      <c r="AJ201" s="3">
        <v>-2.0143153823200928E-2</v>
      </c>
      <c r="AK201" s="3">
        <v>-2.3809523809523774E-2</v>
      </c>
      <c r="AL201" s="3">
        <v>-2.3667498458455359E-2</v>
      </c>
      <c r="AM201" s="3">
        <v>-4.9505302204123434E-2</v>
      </c>
      <c r="AN201" s="3">
        <v>-2.8931701880856291E-2</v>
      </c>
    </row>
    <row r="202" spans="1:40" x14ac:dyDescent="0.3">
      <c r="A202" s="101">
        <v>44602</v>
      </c>
      <c r="B202" s="3">
        <v>-1.1753680722697135E-2</v>
      </c>
      <c r="C202" s="3">
        <v>-3.3459149369084169E-3</v>
      </c>
      <c r="D202" s="3">
        <v>-3.0119972810831118E-3</v>
      </c>
      <c r="E202" s="3">
        <v>2.428112600065058E-3</v>
      </c>
      <c r="F202" s="3">
        <v>3.2863721498292402E-3</v>
      </c>
      <c r="G202" s="3">
        <v>-2.6725190058479547E-2</v>
      </c>
      <c r="H202" s="3">
        <v>-1.8296036211344973E-3</v>
      </c>
      <c r="I202" s="3">
        <v>4.9020045482942422E-3</v>
      </c>
      <c r="J202" s="3">
        <v>-2.5763242142531747E-3</v>
      </c>
      <c r="K202" s="3">
        <v>2.415458937198231E-3</v>
      </c>
      <c r="L202" s="3">
        <v>-1.129201045473229E-2</v>
      </c>
      <c r="M202" s="3">
        <v>1.6528072033898304</v>
      </c>
      <c r="N202" s="3">
        <v>-2.9333386541021043E-3</v>
      </c>
      <c r="O202" s="3">
        <v>9.0472801319436413E-3</v>
      </c>
      <c r="P202" s="3">
        <v>3.5228986651787433E-3</v>
      </c>
      <c r="Q202" s="3">
        <v>9.9585263153536413E-3</v>
      </c>
      <c r="R202" s="3">
        <v>7.6721298792012101E-5</v>
      </c>
      <c r="S202" s="3">
        <v>-1.3377876232944955E-2</v>
      </c>
      <c r="T202" s="3">
        <v>1.5959167516773821E-2</v>
      </c>
      <c r="U202" s="3">
        <v>-1.9162209947076868E-2</v>
      </c>
      <c r="V202" s="3">
        <v>5.4496627508936954E-3</v>
      </c>
      <c r="W202" s="3">
        <v>-3.8747563793275271E-2</v>
      </c>
      <c r="X202" s="3">
        <v>-7.6861390644659153E-4</v>
      </c>
      <c r="Y202" s="3">
        <v>-1.9407430149696349E-2</v>
      </c>
      <c r="Z202" s="3">
        <v>-1.5769944341372907E-2</v>
      </c>
      <c r="AA202" s="3">
        <v>-4.8622182279785653E-2</v>
      </c>
      <c r="AB202" s="3">
        <v>-1.5811967657027564E-2</v>
      </c>
      <c r="AC202" s="3">
        <v>8.7311027958012905E-3</v>
      </c>
      <c r="AD202" s="3">
        <v>-9.6952019814571435E-3</v>
      </c>
      <c r="AE202" s="3">
        <v>-2.5845705006765859E-2</v>
      </c>
      <c r="AF202" s="3">
        <v>1.367931481950122E-2</v>
      </c>
      <c r="AG202" s="3">
        <v>-2.4907795202952037E-2</v>
      </c>
      <c r="AH202" s="3">
        <v>-4.9756141351508049E-2</v>
      </c>
      <c r="AI202" s="3">
        <v>-4.2239777793150773E-2</v>
      </c>
      <c r="AJ202" s="3">
        <v>-1.653513241101065E-2</v>
      </c>
      <c r="AK202" s="3">
        <v>-0.12195121951219505</v>
      </c>
      <c r="AL202" s="3">
        <v>1.1042477383272062E-2</v>
      </c>
      <c r="AM202" s="3">
        <v>-1.8071831732548563E-2</v>
      </c>
      <c r="AN202" s="3">
        <v>-9.1281597337771105E-3</v>
      </c>
    </row>
    <row r="203" spans="1:40" x14ac:dyDescent="0.3">
      <c r="A203" s="101">
        <v>44603</v>
      </c>
      <c r="B203" s="3">
        <v>0</v>
      </c>
      <c r="C203" s="3">
        <v>1.4477567825493249E-2</v>
      </c>
      <c r="D203" s="3">
        <v>-3.0210968164802389E-3</v>
      </c>
      <c r="E203" s="3">
        <v>1.4443365525439698E-2</v>
      </c>
      <c r="F203" s="3">
        <v>1.5442292812931668E-2</v>
      </c>
      <c r="G203" s="3">
        <v>-1.2316680240191068E-3</v>
      </c>
      <c r="H203" s="3">
        <v>3.7930559528727807E-3</v>
      </c>
      <c r="I203" s="3">
        <v>0</v>
      </c>
      <c r="J203" s="3">
        <v>-4.9313046534540973E-3</v>
      </c>
      <c r="K203" s="3">
        <v>1.5662650602409518E-2</v>
      </c>
      <c r="L203" s="3">
        <v>2.428112600065058E-3</v>
      </c>
      <c r="M203" s="3">
        <v>-0.4448437655984826</v>
      </c>
      <c r="N203" s="3">
        <v>2.087723964818902E-3</v>
      </c>
      <c r="O203" s="3">
        <v>-7.8955734765887853E-3</v>
      </c>
      <c r="P203" s="3">
        <v>5.0150448839002379E-4</v>
      </c>
      <c r="Q203" s="3">
        <v>1.1503703504679873E-2</v>
      </c>
      <c r="R203" s="3">
        <v>-2.9305318645349542E-2</v>
      </c>
      <c r="S203" s="3">
        <v>0</v>
      </c>
      <c r="T203" s="3">
        <v>-6.9117270086315281E-3</v>
      </c>
      <c r="U203" s="3">
        <v>3.4074423188039733E-3</v>
      </c>
      <c r="V203" s="3">
        <v>0</v>
      </c>
      <c r="W203" s="3">
        <v>6.7428001817509978E-2</v>
      </c>
      <c r="X203" s="3">
        <v>1.6666717948717966E-2</v>
      </c>
      <c r="Y203" s="3">
        <v>2.275456409612847E-3</v>
      </c>
      <c r="Z203" s="3">
        <v>1.036757775683329E-2</v>
      </c>
      <c r="AA203" s="3">
        <v>-3.7799309607042871E-2</v>
      </c>
      <c r="AB203" s="3">
        <v>1.073842632744466E-2</v>
      </c>
      <c r="AC203" s="3">
        <v>2.5772331988103515E-2</v>
      </c>
      <c r="AD203" s="3">
        <v>2.7622297106021289E-2</v>
      </c>
      <c r="AE203" s="3">
        <v>-1.7808036633709064E-2</v>
      </c>
      <c r="AF203" s="3">
        <v>3.283257819458809E-2</v>
      </c>
      <c r="AG203" s="3">
        <v>-2.8381742118342222E-3</v>
      </c>
      <c r="AH203" s="3">
        <v>2.156053371598984E-2</v>
      </c>
      <c r="AI203" s="3">
        <v>-2.1722288695859578E-2</v>
      </c>
      <c r="AJ203" s="3">
        <v>9.9214905621162787E-3</v>
      </c>
      <c r="AK203" s="3">
        <v>-3.0864197530864907E-3</v>
      </c>
      <c r="AL203" s="3">
        <v>2.9012918495779468E-2</v>
      </c>
      <c r="AM203" s="3">
        <v>9.9747812596118045E-3</v>
      </c>
      <c r="AN203" s="3">
        <v>7.6874837275021039E-3</v>
      </c>
    </row>
    <row r="204" spans="1:40" x14ac:dyDescent="0.3">
      <c r="A204" s="101">
        <v>44606</v>
      </c>
      <c r="B204" s="3">
        <v>2.0932350344189332E-2</v>
      </c>
      <c r="C204" s="3">
        <v>1.2409331241400598E-3</v>
      </c>
      <c r="D204" s="3">
        <v>1.8181812660675572E-2</v>
      </c>
      <c r="E204" s="3">
        <v>5.2175671853691343E-3</v>
      </c>
      <c r="F204" s="3">
        <v>1.8432072993460518E-3</v>
      </c>
      <c r="G204" s="3">
        <v>3.2636413320388059E-2</v>
      </c>
      <c r="H204" s="3">
        <v>1.4882680149038532E-3</v>
      </c>
      <c r="I204" s="3">
        <v>1.0839402652906432E-3</v>
      </c>
      <c r="J204" s="3">
        <v>-1.8880494310666005E-3</v>
      </c>
      <c r="K204" s="3">
        <v>1.6607354685646569E-2</v>
      </c>
      <c r="L204" s="3">
        <v>1.4443365525439698E-2</v>
      </c>
      <c r="M204" s="3">
        <v>-0.15896421506923214</v>
      </c>
      <c r="N204" s="3">
        <v>1.1365386917266003E-3</v>
      </c>
      <c r="O204" s="3">
        <v>-4.6707556332471712E-3</v>
      </c>
      <c r="P204" s="3">
        <v>2.4060099044606535E-2</v>
      </c>
      <c r="Q204" s="3">
        <v>-5.6864877835013797E-3</v>
      </c>
      <c r="R204" s="3">
        <v>1.4263072357189904E-2</v>
      </c>
      <c r="S204" s="3">
        <v>0</v>
      </c>
      <c r="T204" s="3">
        <v>6.3269161680731985E-4</v>
      </c>
      <c r="U204" s="3">
        <v>-8.1502554418429584E-3</v>
      </c>
      <c r="V204" s="3">
        <v>-2.3035278897758957E-2</v>
      </c>
      <c r="W204" s="3">
        <v>-1.3806208106065749E-3</v>
      </c>
      <c r="X204" s="3">
        <v>2.0176518528296661E-2</v>
      </c>
      <c r="Y204" s="3">
        <v>4.7518956098805973E-3</v>
      </c>
      <c r="Z204" s="3">
        <v>-1.3059701492537365E-2</v>
      </c>
      <c r="AA204" s="3">
        <v>-5.8449673245086251E-2</v>
      </c>
      <c r="AB204" s="3">
        <v>-4.167348022667601E-2</v>
      </c>
      <c r="AC204" s="3">
        <v>-3.3941278318227817E-2</v>
      </c>
      <c r="AD204" s="3">
        <v>3.062318718871253E-3</v>
      </c>
      <c r="AE204" s="3">
        <v>-7.4531895483433128E-2</v>
      </c>
      <c r="AF204" s="3">
        <v>0.12688571307002711</v>
      </c>
      <c r="AG204" s="3">
        <v>3.0360483870967892E-2</v>
      </c>
      <c r="AH204" s="3">
        <v>-2.5124683879045244E-3</v>
      </c>
      <c r="AI204" s="3">
        <v>1.5292307096849535E-2</v>
      </c>
      <c r="AJ204" s="3">
        <v>9.0739128224001583E-3</v>
      </c>
      <c r="AK204" s="3">
        <v>3.0959752321982137E-3</v>
      </c>
      <c r="AL204" s="3">
        <v>-4.0013449305899798E-2</v>
      </c>
      <c r="AM204" s="3">
        <v>-4.46562236490958E-2</v>
      </c>
      <c r="AN204" s="3">
        <v>-1.6167461528147884E-2</v>
      </c>
    </row>
    <row r="205" spans="1:40" x14ac:dyDescent="0.3">
      <c r="A205" s="101">
        <v>44607</v>
      </c>
      <c r="B205" s="3">
        <v>-1.6309384324365583E-3</v>
      </c>
      <c r="C205" s="3">
        <v>-3.0778788476877355E-2</v>
      </c>
      <c r="D205" s="3">
        <v>1.7857137531423314E-2</v>
      </c>
      <c r="E205" s="3">
        <v>1.3504082745128316E-2</v>
      </c>
      <c r="F205" s="3">
        <v>1.1959617245742033E-2</v>
      </c>
      <c r="G205" s="3">
        <v>-6.058803008172433E-3</v>
      </c>
      <c r="H205" s="3">
        <v>1.7741334851008694E-3</v>
      </c>
      <c r="I205" s="3">
        <v>-3.248521699927496E-3</v>
      </c>
      <c r="J205" s="3">
        <v>1.0640828966677943E-3</v>
      </c>
      <c r="K205" s="3">
        <v>0</v>
      </c>
      <c r="L205" s="3">
        <v>5.2175671853691343E-3</v>
      </c>
      <c r="M205" s="3">
        <v>0.21274321146033781</v>
      </c>
      <c r="N205" s="3">
        <v>-8.9867637940414056E-3</v>
      </c>
      <c r="O205" s="3">
        <v>-2.7181362736742383E-4</v>
      </c>
      <c r="P205" s="3">
        <v>-3.8668673519334319E-2</v>
      </c>
      <c r="Q205" s="3">
        <v>-2.5326789304201246E-2</v>
      </c>
      <c r="R205" s="3">
        <v>0</v>
      </c>
      <c r="S205" s="3">
        <v>1.6447402330481205E-2</v>
      </c>
      <c r="T205" s="3">
        <v>-6.3229157123082425E-4</v>
      </c>
      <c r="U205" s="3">
        <v>6.8479207834029534E-4</v>
      </c>
      <c r="V205" s="3">
        <v>2.3578414245879687E-2</v>
      </c>
      <c r="W205" s="3">
        <v>-2.7998677298406247E-2</v>
      </c>
      <c r="X205" s="3">
        <v>-3.9555079368230446E-2</v>
      </c>
      <c r="Y205" s="3">
        <v>-1.9758328642800884E-2</v>
      </c>
      <c r="Z205" s="3">
        <v>-1.0396975425330759E-2</v>
      </c>
      <c r="AA205" s="3">
        <v>0.19641207257088239</v>
      </c>
      <c r="AB205" s="3">
        <v>4.0649676180920628E-2</v>
      </c>
      <c r="AC205" s="3">
        <v>4.0852266192881209E-2</v>
      </c>
      <c r="AD205" s="3">
        <v>1.8317531087934356E-2</v>
      </c>
      <c r="AE205" s="3">
        <v>0.10367059748971182</v>
      </c>
      <c r="AF205" s="3">
        <v>-4.781257612283691E-2</v>
      </c>
      <c r="AG205" s="3">
        <v>1.381220137256904E-2</v>
      </c>
      <c r="AH205" s="3">
        <v>2.5692666563337695E-2</v>
      </c>
      <c r="AI205" s="3">
        <v>-1.54836403872462E-2</v>
      </c>
      <c r="AJ205" s="3">
        <v>1.0329606785165575E-2</v>
      </c>
      <c r="AK205" s="3">
        <v>4.9382716049382616E-2</v>
      </c>
      <c r="AL205" s="3">
        <v>1.4094645643611086E-2</v>
      </c>
      <c r="AM205" s="3">
        <v>2.6574534987673423E-2</v>
      </c>
      <c r="AN205" s="3">
        <v>3.7568372429929581E-2</v>
      </c>
    </row>
    <row r="206" spans="1:40" x14ac:dyDescent="0.3">
      <c r="A206" s="101">
        <v>44608</v>
      </c>
      <c r="B206" s="3">
        <v>4.6674986154956084E-3</v>
      </c>
      <c r="C206" s="3">
        <v>-6.3938748732395786E-3</v>
      </c>
      <c r="D206" s="3">
        <v>4.3859489767574367E-2</v>
      </c>
      <c r="E206" s="3">
        <v>2.1613537213941693E-2</v>
      </c>
      <c r="F206" s="3">
        <v>-1.6818153381093579E-2</v>
      </c>
      <c r="G206" s="3">
        <v>-6.1192207194208523E-2</v>
      </c>
      <c r="H206" s="3">
        <v>1.0485672503338947E-3</v>
      </c>
      <c r="I206" s="3">
        <v>-5.4323120397488617E-4</v>
      </c>
      <c r="J206" s="3">
        <v>-5.7864857228597435E-3</v>
      </c>
      <c r="K206" s="3">
        <v>3.5005834305716871E-3</v>
      </c>
      <c r="L206" s="3">
        <v>1.3504082745128316E-2</v>
      </c>
      <c r="M206" s="3">
        <v>-0.10877997179125529</v>
      </c>
      <c r="N206" s="3">
        <v>-1.2027524118716659E-2</v>
      </c>
      <c r="O206" s="3">
        <v>-9.1840906905859693E-3</v>
      </c>
      <c r="P206" s="3">
        <v>3.615076558812462E-2</v>
      </c>
      <c r="Q206" s="3">
        <v>-6.7057267943600903E-3</v>
      </c>
      <c r="R206" s="3">
        <v>1.3203160437631017E-2</v>
      </c>
      <c r="S206" s="3">
        <v>-2.841398235352427E-3</v>
      </c>
      <c r="T206" s="3">
        <v>-1.1072422835348639E-2</v>
      </c>
      <c r="U206" s="3">
        <v>-9.5803900258500524E-3</v>
      </c>
      <c r="V206" s="3">
        <v>0</v>
      </c>
      <c r="W206" s="3">
        <v>-2.5213388158790179E-2</v>
      </c>
      <c r="X206" s="3">
        <v>9.0090866928745003E-3</v>
      </c>
      <c r="Y206" s="3">
        <v>1.3026740062116259E-2</v>
      </c>
      <c r="Z206" s="3">
        <v>9.5510983763132419E-3</v>
      </c>
      <c r="AA206" s="3">
        <v>-8.1950664640858539E-3</v>
      </c>
      <c r="AB206" s="3">
        <v>-9.1667468583912556E-3</v>
      </c>
      <c r="AC206" s="3">
        <v>-3.1609694875053811E-3</v>
      </c>
      <c r="AD206" s="3">
        <v>-1.3324327006945095E-3</v>
      </c>
      <c r="AE206" s="3">
        <v>-1.2655357619092136E-2</v>
      </c>
      <c r="AF206" s="3">
        <v>4.0547311848978196E-2</v>
      </c>
      <c r="AG206" s="3">
        <v>-2.724841053587636E-3</v>
      </c>
      <c r="AH206" s="3">
        <v>1.5225977157151903E-2</v>
      </c>
      <c r="AI206" s="3">
        <v>5.9665863685087361E-2</v>
      </c>
      <c r="AJ206" s="3">
        <v>1.2063514215640204E-2</v>
      </c>
      <c r="AK206" s="3">
        <v>4.1176470588235335E-2</v>
      </c>
      <c r="AL206" s="3">
        <v>1.1351000899283805E-3</v>
      </c>
      <c r="AM206" s="3">
        <v>-3.7516645456454186E-3</v>
      </c>
      <c r="AN206" s="3">
        <v>-1.7010170044107842E-3</v>
      </c>
    </row>
    <row r="207" spans="1:40" x14ac:dyDescent="0.3">
      <c r="A207" s="101">
        <v>44609</v>
      </c>
      <c r="B207" s="3">
        <v>7.8977686753272554E-3</v>
      </c>
      <c r="C207" s="3">
        <v>1.4371604674655295E-2</v>
      </c>
      <c r="D207" s="3">
        <v>2.8013539690386106E-3</v>
      </c>
      <c r="E207" s="3">
        <v>4.5881714522991246E-3</v>
      </c>
      <c r="F207" s="3">
        <v>1.155796212010851E-2</v>
      </c>
      <c r="G207" s="3">
        <v>2.0696775559677662E-2</v>
      </c>
      <c r="H207" s="3">
        <v>-7.3568050446522825E-5</v>
      </c>
      <c r="I207" s="3">
        <v>-8.1520618009968803E-3</v>
      </c>
      <c r="J207" s="3">
        <v>6.6516336813240333E-3</v>
      </c>
      <c r="K207" s="3">
        <v>-1.2790697674418539E-2</v>
      </c>
      <c r="L207" s="3">
        <v>2.1613537213941693E-2</v>
      </c>
      <c r="M207" s="3">
        <v>0.90919881305637984</v>
      </c>
      <c r="N207" s="3">
        <v>-4.5410481149937634E-3</v>
      </c>
      <c r="O207" s="3">
        <v>-4.8032466542599427E-4</v>
      </c>
      <c r="P207" s="3">
        <v>-1.5233366093366153E-2</v>
      </c>
      <c r="Q207" s="3">
        <v>1.3501994273497466E-2</v>
      </c>
      <c r="R207" s="3">
        <v>-1.3031108619843034E-2</v>
      </c>
      <c r="S207" s="3">
        <v>-2.1742482740527969E-2</v>
      </c>
      <c r="T207" s="3">
        <v>1.5994710155372498E-3</v>
      </c>
      <c r="U207" s="3">
        <v>1.1976088487279102E-2</v>
      </c>
      <c r="V207" s="3">
        <v>-3.6585423206443105E-2</v>
      </c>
      <c r="W207" s="3">
        <v>2.1122946916864567E-2</v>
      </c>
      <c r="X207" s="3">
        <v>-5.6122702649931931E-3</v>
      </c>
      <c r="Y207" s="3">
        <v>-1.7621855227698324E-2</v>
      </c>
      <c r="Z207" s="3">
        <v>-6.2440870387890264E-2</v>
      </c>
      <c r="AA207" s="3">
        <v>4.7211341500153929E-2</v>
      </c>
      <c r="AB207" s="3">
        <v>1.6502780937835318E-2</v>
      </c>
      <c r="AC207" s="3">
        <v>3.3899627041894122E-2</v>
      </c>
      <c r="AD207" s="3">
        <v>-1.0340298073935369E-2</v>
      </c>
      <c r="AE207" s="3">
        <v>1.9072156920263015E-2</v>
      </c>
      <c r="AF207" s="3">
        <v>4.0897629554974092E-2</v>
      </c>
      <c r="AG207" s="3">
        <v>-2.2768215973051585E-3</v>
      </c>
      <c r="AH207" s="3">
        <v>2.8543864426204255E-2</v>
      </c>
      <c r="AI207" s="3">
        <v>3.9327770192640381E-2</v>
      </c>
      <c r="AJ207" s="3">
        <v>2.6164738225063405E-2</v>
      </c>
      <c r="AK207" s="3">
        <v>2.8248587570620866E-3</v>
      </c>
      <c r="AL207" s="3">
        <v>2.9070134380418697E-2</v>
      </c>
      <c r="AM207" s="3">
        <v>3.6706680678716901E-2</v>
      </c>
      <c r="AN207" s="3">
        <v>1.8298425758469346E-2</v>
      </c>
    </row>
    <row r="208" spans="1:40" x14ac:dyDescent="0.3">
      <c r="A208" s="101">
        <v>44610</v>
      </c>
      <c r="B208" s="3">
        <v>-8.2968619430331802E-3</v>
      </c>
      <c r="C208" s="3">
        <v>1.0784489108021982E-2</v>
      </c>
      <c r="D208" s="3">
        <v>1.3966241973854423E-2</v>
      </c>
      <c r="E208" s="3">
        <v>-4.3768736938814189E-2</v>
      </c>
      <c r="F208" s="3">
        <v>3.6563119675683653E-2</v>
      </c>
      <c r="G208" s="3">
        <v>-2.5812771734982649E-2</v>
      </c>
      <c r="H208" s="3">
        <v>2.4804767560408203E-3</v>
      </c>
      <c r="I208" s="3">
        <v>-1.6438689593261178E-3</v>
      </c>
      <c r="J208" s="3">
        <v>3.4216567183075787E-3</v>
      </c>
      <c r="K208" s="3">
        <v>0</v>
      </c>
      <c r="L208" s="3">
        <v>4.5881714522991246E-3</v>
      </c>
      <c r="M208" s="3">
        <v>-0.33799606258418818</v>
      </c>
      <c r="N208" s="3">
        <v>2.0381638581230214E-3</v>
      </c>
      <c r="O208" s="3">
        <v>-1.0305032055863503E-3</v>
      </c>
      <c r="P208" s="3">
        <v>-2.0459180615809282E-2</v>
      </c>
      <c r="Q208" s="3">
        <v>-2.9142346694125552E-2</v>
      </c>
      <c r="R208" s="3">
        <v>0</v>
      </c>
      <c r="S208" s="3">
        <v>2.9744232721228225E-3</v>
      </c>
      <c r="T208" s="3">
        <v>-3.1940916691725188E-4</v>
      </c>
      <c r="U208" s="3">
        <v>-2.5033145811814883E-3</v>
      </c>
      <c r="V208" s="3">
        <v>-2.1097003257601575E-2</v>
      </c>
      <c r="W208" s="3">
        <v>-2.6437959605402756E-2</v>
      </c>
      <c r="X208" s="3">
        <v>-3.129815289892237E-2</v>
      </c>
      <c r="Y208" s="3">
        <v>-9.6962023793157603E-3</v>
      </c>
      <c r="Z208" s="3">
        <v>-1.3118062563067688E-2</v>
      </c>
      <c r="AA208" s="3">
        <v>-8.3905018232053701E-3</v>
      </c>
      <c r="AB208" s="3">
        <v>-7.6254654520722985E-3</v>
      </c>
      <c r="AC208" s="3">
        <v>-2.0008802760172254E-2</v>
      </c>
      <c r="AD208" s="3">
        <v>3.3705012406129273E-3</v>
      </c>
      <c r="AE208" s="3">
        <v>-9.3025954676346258E-3</v>
      </c>
      <c r="AF208" s="3">
        <v>0.10344023146165494</v>
      </c>
      <c r="AG208" s="3">
        <v>-9.1282975810132502E-3</v>
      </c>
      <c r="AH208" s="3">
        <v>-2.8222091193657123E-2</v>
      </c>
      <c r="AI208" s="3">
        <v>7.7794717461288879E-4</v>
      </c>
      <c r="AJ208" s="3">
        <v>-5.241360090296859E-3</v>
      </c>
      <c r="AK208" s="3">
        <v>-3.6619718309859127E-2</v>
      </c>
      <c r="AL208" s="3">
        <v>-2.4990915560815091E-2</v>
      </c>
      <c r="AM208" s="3">
        <v>-9.6355638344951516E-3</v>
      </c>
      <c r="AN208" s="3">
        <v>-7.7402674664226187E-3</v>
      </c>
    </row>
    <row r="209" spans="1:40" x14ac:dyDescent="0.3">
      <c r="A209" s="101">
        <v>44613</v>
      </c>
      <c r="B209" s="3">
        <v>-2.4633919110306223E-2</v>
      </c>
      <c r="C209" s="3">
        <v>6.4854069847227356E-3</v>
      </c>
      <c r="D209" s="3">
        <v>2.2038748489277102E-2</v>
      </c>
      <c r="E209" s="3">
        <v>1.5699572529110813E-2</v>
      </c>
      <c r="F209" s="3">
        <v>-8.8184183723874418E-3</v>
      </c>
      <c r="G209" s="3">
        <v>2.9918685931996102E-2</v>
      </c>
      <c r="H209" s="3">
        <v>1.3769627835617396E-3</v>
      </c>
      <c r="I209" s="3">
        <v>5.4878360090657207E-4</v>
      </c>
      <c r="J209" s="3">
        <v>7.2907600012790605E-3</v>
      </c>
      <c r="K209" s="3">
        <v>1.177856301531188E-3</v>
      </c>
      <c r="L209" s="3">
        <v>-4.3768736938814189E-2</v>
      </c>
      <c r="M209" s="3">
        <v>0.62028486461105026</v>
      </c>
      <c r="N209" s="3">
        <v>-3.2932062070643951E-3</v>
      </c>
      <c r="O209" s="3">
        <v>4.6071041044261976E-3</v>
      </c>
      <c r="P209" s="3">
        <v>2.8527866965250337E-2</v>
      </c>
      <c r="Q209" s="3">
        <v>-3.0017115892214206E-2</v>
      </c>
      <c r="R209" s="3">
        <v>-8.6718119764456012E-3</v>
      </c>
      <c r="S209" s="3">
        <v>-2.9656023155795017E-3</v>
      </c>
      <c r="T209" s="3">
        <v>-3.1948863230965266E-3</v>
      </c>
      <c r="U209" s="3">
        <v>-4.1067850873760031E-3</v>
      </c>
      <c r="V209" s="3">
        <v>0</v>
      </c>
      <c r="W209" s="3">
        <v>-5.0091774915309521E-2</v>
      </c>
      <c r="X209" s="3">
        <v>-5.9586867562863743E-2</v>
      </c>
      <c r="Y209" s="3">
        <v>-8.7576155082162502E-3</v>
      </c>
      <c r="Z209" s="3">
        <v>7.1574642126789661E-3</v>
      </c>
      <c r="AA209" s="3">
        <v>2.0483461983673502E-2</v>
      </c>
      <c r="AB209" s="3">
        <v>2.445668160805951E-2</v>
      </c>
      <c r="AC209" s="3">
        <v>1.9932958716832191E-2</v>
      </c>
      <c r="AD209" s="3">
        <v>2.5864874981642756E-2</v>
      </c>
      <c r="AE209" s="3">
        <v>8.2231972274940442E-3</v>
      </c>
      <c r="AF209" s="3">
        <v>1.464080330635855E-2</v>
      </c>
      <c r="AG209" s="3">
        <v>9.2123910277471834E-3</v>
      </c>
      <c r="AH209" s="3">
        <v>1.6940996888738798E-2</v>
      </c>
      <c r="AI209" s="3">
        <v>-2.9648612129375022E-2</v>
      </c>
      <c r="AJ209" s="3">
        <v>3.1968986223701021E-2</v>
      </c>
      <c r="AK209" s="3">
        <v>8.7719298245614759E-3</v>
      </c>
      <c r="AL209" s="3">
        <v>2.2163808274192594E-3</v>
      </c>
      <c r="AM209" s="3">
        <v>4.3048143197244671E-3</v>
      </c>
      <c r="AN209" s="3">
        <v>-2.5279446925943203E-3</v>
      </c>
    </row>
    <row r="210" spans="1:40" x14ac:dyDescent="0.3">
      <c r="A210" s="101">
        <v>44614</v>
      </c>
      <c r="B210" s="3">
        <v>4.0504625436714762E-3</v>
      </c>
      <c r="C210" s="3">
        <v>4.3649740650491525E-3</v>
      </c>
      <c r="D210" s="3">
        <v>-2.6953719229705327E-3</v>
      </c>
      <c r="E210" s="3">
        <v>1.0493390933239057E-2</v>
      </c>
      <c r="F210" s="3">
        <v>0</v>
      </c>
      <c r="G210" s="3">
        <v>2.4507736539094899E-2</v>
      </c>
      <c r="H210" s="3">
        <v>-1.8252824301733732E-3</v>
      </c>
      <c r="I210" s="3">
        <v>4.3883665940827538E-3</v>
      </c>
      <c r="J210" s="3">
        <v>3.1520817958647631E-3</v>
      </c>
      <c r="K210" s="3">
        <v>2.8235294117647084E-2</v>
      </c>
      <c r="L210" s="3">
        <v>1.5699572529110813E-2</v>
      </c>
      <c r="M210" s="3">
        <v>-6.4431993817619784E-2</v>
      </c>
      <c r="N210" s="3">
        <v>5.636484801344971E-3</v>
      </c>
      <c r="O210" s="3">
        <v>-1.0266244122820564E-3</v>
      </c>
      <c r="P210" s="3">
        <v>-5.9435410627270417E-2</v>
      </c>
      <c r="Q210" s="3">
        <v>0</v>
      </c>
      <c r="R210" s="3">
        <v>-2.2775733823815952E-2</v>
      </c>
      <c r="S210" s="3">
        <v>-5.2957751811531706E-3</v>
      </c>
      <c r="T210" s="3">
        <v>1.4743587626826118E-2</v>
      </c>
      <c r="U210" s="3">
        <v>2.2907755440536716E-4</v>
      </c>
      <c r="V210" s="3">
        <v>0</v>
      </c>
      <c r="W210" s="3">
        <v>5.0801560597935363E-2</v>
      </c>
      <c r="X210" s="3">
        <v>1.8586314761267982E-2</v>
      </c>
      <c r="Y210" s="3">
        <v>1.728589732285354E-2</v>
      </c>
      <c r="Z210" s="3">
        <v>1.4213197969543205E-2</v>
      </c>
      <c r="AA210" s="3">
        <v>-4.3873773944805017E-2</v>
      </c>
      <c r="AB210" s="3">
        <v>1.2742964168578104E-2</v>
      </c>
      <c r="AC210" s="3">
        <v>2.0200909589041006E-2</v>
      </c>
      <c r="AD210" s="3">
        <v>9.8226605854427368E-4</v>
      </c>
      <c r="AE210" s="3">
        <v>-2.5735770046938597E-2</v>
      </c>
      <c r="AF210" s="3">
        <v>-9.3440495917297586E-4</v>
      </c>
      <c r="AG210" s="3">
        <v>-4.564125969877482E-4</v>
      </c>
      <c r="AH210" s="3">
        <v>-5.2357132073579272E-3</v>
      </c>
      <c r="AI210" s="3">
        <v>-1.7909281123397621E-2</v>
      </c>
      <c r="AJ210" s="3">
        <v>-2.0009497446178484E-3</v>
      </c>
      <c r="AK210" s="3">
        <v>-2.318840579710147E-2</v>
      </c>
      <c r="AL210" s="3">
        <v>1.2596218587109317E-2</v>
      </c>
      <c r="AM210" s="3">
        <v>7.2657933685728272E-3</v>
      </c>
      <c r="AN210" s="3">
        <v>3.3034059344254399E-3</v>
      </c>
    </row>
    <row r="211" spans="1:40" x14ac:dyDescent="0.3">
      <c r="A211" s="101">
        <v>44615</v>
      </c>
      <c r="B211" s="3">
        <v>2.6340760866462851E-2</v>
      </c>
      <c r="C211" s="3">
        <v>0</v>
      </c>
      <c r="D211" s="3">
        <v>2.4324180123300135E-2</v>
      </c>
      <c r="E211" s="3">
        <v>2.671420893852452E-3</v>
      </c>
      <c r="F211" s="3">
        <v>-1.0231226880528332E-2</v>
      </c>
      <c r="G211" s="3">
        <v>-3.1329957786433459E-2</v>
      </c>
      <c r="H211" s="3">
        <v>-2.7271964420575749E-3</v>
      </c>
      <c r="I211" s="3">
        <v>-6.5537055332126736E-3</v>
      </c>
      <c r="J211" s="3">
        <v>-7.2153312900224255E-3</v>
      </c>
      <c r="K211" s="3">
        <v>-2.7459954233409634E-2</v>
      </c>
      <c r="L211" s="3">
        <v>1.0493390933239057E-2</v>
      </c>
      <c r="M211" s="3">
        <v>-0.50635002581311306</v>
      </c>
      <c r="N211" s="3">
        <v>1.9230693154817711E-2</v>
      </c>
      <c r="O211" s="3">
        <v>1.3692531831123843E-4</v>
      </c>
      <c r="P211" s="3">
        <v>5.0026382306477116E-2</v>
      </c>
      <c r="Q211" s="3">
        <v>-1.9451758990913757E-2</v>
      </c>
      <c r="R211" s="3">
        <v>-8.0644335144294567E-3</v>
      </c>
      <c r="S211" s="3">
        <v>0</v>
      </c>
      <c r="T211" s="3">
        <v>7.8963787050995056E-3</v>
      </c>
      <c r="U211" s="3">
        <v>5.2679476584095745E-3</v>
      </c>
      <c r="V211" s="3">
        <v>-1.1494284254769499E-2</v>
      </c>
      <c r="W211" s="3">
        <v>-5.1838187203444124E-2</v>
      </c>
      <c r="X211" s="3">
        <v>3.0688445158332519E-2</v>
      </c>
      <c r="Y211" s="3">
        <v>-1.3108252963959165E-2</v>
      </c>
      <c r="Z211" s="3">
        <v>-4.3043043043043017E-2</v>
      </c>
      <c r="AA211" s="3">
        <v>3.6830744600428622E-2</v>
      </c>
      <c r="AB211" s="3">
        <v>-6.4505428853499523E-3</v>
      </c>
      <c r="AC211" s="3">
        <v>1.6936447353682667E-2</v>
      </c>
      <c r="AD211" s="3">
        <v>2.2898315483623351E-3</v>
      </c>
      <c r="AE211" s="3">
        <v>4.2790894723348648E-2</v>
      </c>
      <c r="AF211" s="3">
        <v>-4.0523614673177451E-2</v>
      </c>
      <c r="AG211" s="3">
        <v>-2.2831050228309204E-3</v>
      </c>
      <c r="AH211" s="3">
        <v>0</v>
      </c>
      <c r="AI211" s="3">
        <v>2.6218316787919725E-3</v>
      </c>
      <c r="AJ211" s="3">
        <v>1.1753038359354269E-3</v>
      </c>
      <c r="AK211" s="3">
        <v>-2.3738872403560853E-2</v>
      </c>
      <c r="AL211" s="3">
        <v>-6.8814635643281712E-4</v>
      </c>
      <c r="AM211" s="3">
        <v>7.823463872526212E-4</v>
      </c>
      <c r="AN211" s="3">
        <v>1.4188850540595486E-2</v>
      </c>
    </row>
    <row r="212" spans="1:40" x14ac:dyDescent="0.3">
      <c r="A212" s="101">
        <v>44616</v>
      </c>
      <c r="B212" s="3">
        <v>-1.5260047594452108E-2</v>
      </c>
      <c r="C212" s="3">
        <v>4.5529959620253333E-3</v>
      </c>
      <c r="D212" s="3">
        <v>5.2769555578176496E-3</v>
      </c>
      <c r="E212" s="3">
        <v>1.3536905107510844E-2</v>
      </c>
      <c r="F212" s="3">
        <v>-1.3483218153851707E-2</v>
      </c>
      <c r="G212" s="3">
        <v>-1.1088294137610697E-2</v>
      </c>
      <c r="H212" s="3">
        <v>4.2001486530073764E-3</v>
      </c>
      <c r="I212" s="3">
        <v>-6.0473075815077664E-3</v>
      </c>
      <c r="J212" s="3">
        <v>-1.0666881801621456E-2</v>
      </c>
      <c r="K212" s="3">
        <v>-1.1764705882352691E-3</v>
      </c>
      <c r="L212" s="3">
        <v>2.671420893852452E-3</v>
      </c>
      <c r="M212" s="3">
        <v>0.26375235306421252</v>
      </c>
      <c r="N212" s="3">
        <v>3.3185746642753634E-3</v>
      </c>
      <c r="O212" s="3">
        <v>-1.2125710882446948E-2</v>
      </c>
      <c r="P212" s="3">
        <v>1.4543580012859663E-2</v>
      </c>
      <c r="Q212" s="3">
        <v>-2.0739342018170088E-2</v>
      </c>
      <c r="R212" s="3">
        <v>3.2520242035101989E-2</v>
      </c>
      <c r="S212" s="3">
        <v>3.8250678801213828E-2</v>
      </c>
      <c r="T212" s="3">
        <v>-1.8802302807288303E-3</v>
      </c>
      <c r="U212" s="3">
        <v>-2.7340833660874481E-3</v>
      </c>
      <c r="V212" s="3">
        <v>0</v>
      </c>
      <c r="W212" s="3">
        <v>-6.5529298726553512E-2</v>
      </c>
      <c r="X212" s="3">
        <v>-3.0042892436772866E-2</v>
      </c>
      <c r="Y212" s="3">
        <v>-6.7777535956997361E-3</v>
      </c>
      <c r="Z212" s="3">
        <v>-2.5104602510460271E-2</v>
      </c>
      <c r="AA212" s="3">
        <v>-6.9320729511480855E-2</v>
      </c>
      <c r="AB212" s="3">
        <v>-3.3905017650668272E-2</v>
      </c>
      <c r="AC212" s="3">
        <v>-1.8978257139598723E-2</v>
      </c>
      <c r="AD212" s="3">
        <v>1.6320195706027818E-3</v>
      </c>
      <c r="AE212" s="3">
        <v>-7.2577309140505461E-2</v>
      </c>
      <c r="AF212" s="3">
        <v>4.7866679418869421E-2</v>
      </c>
      <c r="AG212" s="3">
        <v>-6.8649427917620636E-3</v>
      </c>
      <c r="AH212" s="3">
        <v>4.5933051009355109E-2</v>
      </c>
      <c r="AI212" s="3">
        <v>-9.1813591487953164E-3</v>
      </c>
      <c r="AJ212" s="3">
        <v>-1.1393578594465568E-2</v>
      </c>
      <c r="AK212" s="3">
        <v>-7.2948328267477269E-2</v>
      </c>
      <c r="AL212" s="3">
        <v>-2.6235284864899615E-2</v>
      </c>
      <c r="AM212" s="3">
        <v>-3.7468524378504696E-2</v>
      </c>
      <c r="AN212" s="3">
        <v>-3.435878110908E-2</v>
      </c>
    </row>
    <row r="213" spans="1:40" x14ac:dyDescent="0.3">
      <c r="A213" s="101">
        <v>44617</v>
      </c>
      <c r="B213" s="3">
        <v>1.1270171452860809E-2</v>
      </c>
      <c r="C213" s="3">
        <v>-2.4722959718554084E-3</v>
      </c>
      <c r="D213" s="3">
        <v>-2.6246277349954382E-3</v>
      </c>
      <c r="E213" s="3">
        <v>1.551815096371522E-2</v>
      </c>
      <c r="F213" s="3">
        <v>7.2893035123798959E-3</v>
      </c>
      <c r="G213" s="3">
        <v>2.7425823850268389E-2</v>
      </c>
      <c r="H213" s="3">
        <v>-3.6449205030269619E-3</v>
      </c>
      <c r="I213" s="3">
        <v>1.6593257575362951E-3</v>
      </c>
      <c r="J213" s="3">
        <v>3.5543110041365338E-4</v>
      </c>
      <c r="K213" s="3">
        <v>1.177856301531188E-3</v>
      </c>
      <c r="L213" s="3">
        <v>1.3536905107510844E-2</v>
      </c>
      <c r="M213" s="3">
        <v>0.74064879179079779</v>
      </c>
      <c r="N213" s="3">
        <v>-8.1270522392316493E-3</v>
      </c>
      <c r="O213" s="3">
        <v>-6.7959904260309727E-3</v>
      </c>
      <c r="P213" s="3">
        <v>2.1255561047948578E-2</v>
      </c>
      <c r="Q213" s="3">
        <v>-1.4733070596556781E-2</v>
      </c>
      <c r="R213" s="3">
        <v>-2.3700765110735676E-2</v>
      </c>
      <c r="S213" s="3">
        <v>-2.2811967804929389E-2</v>
      </c>
      <c r="T213" s="3">
        <v>-5.0235828300824129E-3</v>
      </c>
      <c r="U213" s="3">
        <v>-8.9102243982839124E-3</v>
      </c>
      <c r="V213" s="3">
        <v>0</v>
      </c>
      <c r="W213" s="3">
        <v>9.3361342846075539E-3</v>
      </c>
      <c r="X213" s="3">
        <v>1.1615099557522228E-2</v>
      </c>
      <c r="Y213" s="3">
        <v>-1.4088453587479077E-2</v>
      </c>
      <c r="Z213" s="3">
        <v>-1.2875536480686801E-2</v>
      </c>
      <c r="AA213" s="3">
        <v>2.618004764752933E-3</v>
      </c>
      <c r="AB213" s="3">
        <v>-4.4801851546744254E-3</v>
      </c>
      <c r="AC213" s="3">
        <v>4.1238928311659671E-2</v>
      </c>
      <c r="AD213" s="3">
        <v>3.7797250704745079E-2</v>
      </c>
      <c r="AE213" s="3">
        <v>1.6259680669348849E-2</v>
      </c>
      <c r="AF213" s="3">
        <v>6.0973940067608227E-3</v>
      </c>
      <c r="AG213" s="3">
        <v>1.3364008600736844E-2</v>
      </c>
      <c r="AH213" s="3">
        <v>-5.6724496052316685E-2</v>
      </c>
      <c r="AI213" s="3">
        <v>-1.3782089957700442E-2</v>
      </c>
      <c r="AJ213" s="3">
        <v>-3.9673043075853474E-2</v>
      </c>
      <c r="AK213" s="3">
        <v>-2.9508196721311431E-2</v>
      </c>
      <c r="AL213" s="3">
        <v>3.4279892180998904E-3</v>
      </c>
      <c r="AM213" s="3">
        <v>1.4639719226297069E-2</v>
      </c>
      <c r="AN213" s="3">
        <v>1.5511906624054543E-2</v>
      </c>
    </row>
    <row r="214" spans="1:40" x14ac:dyDescent="0.3">
      <c r="A214" s="101">
        <v>44620</v>
      </c>
      <c r="B214" s="3">
        <v>1.4859587471528671E-2</v>
      </c>
      <c r="C214" s="3">
        <v>4.3371735921828346E-3</v>
      </c>
      <c r="D214" s="3">
        <v>0</v>
      </c>
      <c r="E214" s="3">
        <v>3.5072934516253628E-3</v>
      </c>
      <c r="F214" s="3">
        <v>3.8896400868196089E-2</v>
      </c>
      <c r="G214" s="3">
        <v>-7.2553400486772028E-3</v>
      </c>
      <c r="H214" s="3">
        <v>3.2062288441457388E-3</v>
      </c>
      <c r="I214" s="3">
        <v>-8.2827716449056007E-3</v>
      </c>
      <c r="J214" s="3">
        <v>7.2248393861748372E-3</v>
      </c>
      <c r="K214" s="3">
        <v>0</v>
      </c>
      <c r="L214" s="3">
        <v>1.551815096371522E-2</v>
      </c>
      <c r="M214" s="3">
        <v>-0.27583911761909291</v>
      </c>
      <c r="N214" s="3">
        <v>-6.5739391845094555E-3</v>
      </c>
      <c r="O214" s="3">
        <v>1.954886953601805E-3</v>
      </c>
      <c r="P214" s="3">
        <v>2.904162633107461E-2</v>
      </c>
      <c r="Q214" s="3">
        <v>2.429909576372782E-2</v>
      </c>
      <c r="R214" s="3">
        <v>0</v>
      </c>
      <c r="S214" s="3">
        <v>-2.6044376427970018E-2</v>
      </c>
      <c r="T214" s="3">
        <v>8.8356087952762112E-3</v>
      </c>
      <c r="U214" s="3">
        <v>9.9123903083874962E-3</v>
      </c>
      <c r="V214" s="3">
        <v>0</v>
      </c>
      <c r="W214" s="3">
        <v>-3.9260052341390517E-2</v>
      </c>
      <c r="X214" s="3">
        <v>2.73373413156183E-2</v>
      </c>
      <c r="Y214" s="3">
        <v>-1.7080648074149413E-2</v>
      </c>
      <c r="Z214" s="3">
        <v>-2.1739130434782532E-2</v>
      </c>
      <c r="AA214" s="3">
        <v>2.3103830508620634E-2</v>
      </c>
      <c r="AB214" s="3">
        <v>2.8335626059520485E-2</v>
      </c>
      <c r="AC214" s="3">
        <v>1.1823184920712064E-2</v>
      </c>
      <c r="AD214" s="3">
        <v>-2.8885431236527377E-2</v>
      </c>
      <c r="AE214" s="3">
        <v>2.5351779075370957E-2</v>
      </c>
      <c r="AF214" s="3">
        <v>3.0713923804177409E-2</v>
      </c>
      <c r="AG214" s="3">
        <v>5.0022737608004996E-3</v>
      </c>
      <c r="AH214" s="3">
        <v>-3.103791277270811E-2</v>
      </c>
      <c r="AI214" s="3">
        <v>-9.2768591742904728E-3</v>
      </c>
      <c r="AJ214" s="3">
        <v>5.6729969525835889E-3</v>
      </c>
      <c r="AK214" s="3">
        <v>-3.7162162162162123E-2</v>
      </c>
      <c r="AL214" s="3">
        <v>-2.2563331144740645E-3</v>
      </c>
      <c r="AM214" s="3">
        <v>2.134013852430992E-2</v>
      </c>
      <c r="AN214" s="3">
        <v>1.1678213624383963E-2</v>
      </c>
    </row>
    <row r="215" spans="1:40" x14ac:dyDescent="0.3">
      <c r="A215" s="101">
        <v>44621</v>
      </c>
      <c r="B215" s="3">
        <v>-1.1439066878847449E-2</v>
      </c>
      <c r="C215" s="3">
        <v>-2.4676998172513545E-3</v>
      </c>
      <c r="D215" s="3">
        <v>0</v>
      </c>
      <c r="E215" s="3">
        <v>-1.4229360125349396E-2</v>
      </c>
      <c r="F215" s="3">
        <v>6.9656167431332416E-3</v>
      </c>
      <c r="G215" s="3">
        <v>-3.3801289603765834E-2</v>
      </c>
      <c r="H215" s="3">
        <v>3.0667453728122308E-3</v>
      </c>
      <c r="I215" s="3">
        <v>1.3363072655646881E-2</v>
      </c>
      <c r="J215" s="3">
        <v>4.3509780827931865E-3</v>
      </c>
      <c r="K215" s="3">
        <v>0</v>
      </c>
      <c r="L215" s="3">
        <v>3.5072934516253628E-3</v>
      </c>
      <c r="M215" s="3">
        <v>-9.5456932773109238E-2</v>
      </c>
      <c r="N215" s="3">
        <v>9.5905364392893169E-3</v>
      </c>
      <c r="O215" s="3">
        <v>1.1986059164356093E-2</v>
      </c>
      <c r="P215" s="3">
        <v>-2.8221542803387226E-3</v>
      </c>
      <c r="Q215" s="3">
        <v>2.2810254170560363E-2</v>
      </c>
      <c r="R215" s="3">
        <v>8.0626093841569102E-5</v>
      </c>
      <c r="S215" s="3">
        <v>3.7512967180635459E-2</v>
      </c>
      <c r="T215" s="3">
        <v>-1.7203602331634177E-2</v>
      </c>
      <c r="U215" s="3">
        <v>-3.8803961134500869E-3</v>
      </c>
      <c r="V215" s="3">
        <v>4.6511636278850937E-2</v>
      </c>
      <c r="W215" s="3">
        <v>-8.0872950339693661E-2</v>
      </c>
      <c r="X215" s="3">
        <v>-4.2043691216408142E-2</v>
      </c>
      <c r="Y215" s="3">
        <v>-3.0325379756383282E-2</v>
      </c>
      <c r="Z215" s="3">
        <v>-4.2222222222222307E-2</v>
      </c>
      <c r="AA215" s="3">
        <v>-1.1701464458542426E-2</v>
      </c>
      <c r="AB215" s="3">
        <v>-6.8887270142029694E-3</v>
      </c>
      <c r="AC215" s="3">
        <v>-9.9134833780018545E-3</v>
      </c>
      <c r="AD215" s="3">
        <v>-2.9097882536046182E-2</v>
      </c>
      <c r="AE215" s="3">
        <v>-3.9515089591924034E-2</v>
      </c>
      <c r="AF215" s="3">
        <v>-9.059192223634055E-2</v>
      </c>
      <c r="AG215" s="3">
        <v>9.0502262443425551E-4</v>
      </c>
      <c r="AH215" s="3">
        <v>1.9018971599406905E-2</v>
      </c>
      <c r="AI215" s="3">
        <v>1.7406725030286009E-3</v>
      </c>
      <c r="AJ215" s="3">
        <v>-8.3169092835432036E-3</v>
      </c>
      <c r="AK215" s="3">
        <v>-5.263157894736839E-2</v>
      </c>
      <c r="AL215" s="3">
        <v>7.0490488145939249E-3</v>
      </c>
      <c r="AM215" s="3">
        <v>2.2901573939560552E-2</v>
      </c>
      <c r="AN215" s="3">
        <v>8.5602868285666236E-3</v>
      </c>
    </row>
    <row r="216" spans="1:40" x14ac:dyDescent="0.3">
      <c r="A216" s="101">
        <v>44622</v>
      </c>
      <c r="B216" s="3">
        <v>6.9438533855908197E-4</v>
      </c>
      <c r="C216" s="3">
        <v>-1.3811526950520165E-2</v>
      </c>
      <c r="D216" s="3">
        <v>-1.0526138134070828E-2</v>
      </c>
      <c r="E216" s="3">
        <v>1.2113323252400433E-2</v>
      </c>
      <c r="F216" s="3">
        <v>3.4587587321009503E-3</v>
      </c>
      <c r="G216" s="3">
        <v>3.5928770766936653E-3</v>
      </c>
      <c r="H216" s="3">
        <v>2.3887873248019807E-3</v>
      </c>
      <c r="I216" s="3">
        <v>-8.241756695340198E-3</v>
      </c>
      <c r="J216" s="3">
        <v>-4.4491685355306258E-3</v>
      </c>
      <c r="K216" s="3">
        <v>1.1764705882352899E-2</v>
      </c>
      <c r="L216" s="3">
        <v>-1.4229360125349396E-2</v>
      </c>
      <c r="M216" s="3">
        <v>0.21599651618522281</v>
      </c>
      <c r="N216" s="3">
        <v>-1.9948832245712308E-3</v>
      </c>
      <c r="O216" s="3">
        <v>-6.3352105512616656E-3</v>
      </c>
      <c r="P216" s="3">
        <v>-5.3773676708788791E-2</v>
      </c>
      <c r="Q216" s="3">
        <v>-2.4085656377888447E-2</v>
      </c>
      <c r="R216" s="3">
        <v>-1.2096706869493637E-2</v>
      </c>
      <c r="S216" s="3">
        <v>1.2454584046606945E-2</v>
      </c>
      <c r="T216" s="3">
        <v>2.5461023554943195E-3</v>
      </c>
      <c r="U216" s="3">
        <v>3.5517847141424065E-2</v>
      </c>
      <c r="V216" s="3">
        <v>0</v>
      </c>
      <c r="W216" s="3">
        <v>-7.8212277659470933E-2</v>
      </c>
      <c r="X216" s="3">
        <v>-2.8333333333333419E-2</v>
      </c>
      <c r="Y216" s="3">
        <v>-6.1961944363103996E-2</v>
      </c>
      <c r="Z216" s="3">
        <v>-6.7285382830626461E-2</v>
      </c>
      <c r="AA216" s="3">
        <v>-4.8160587857191899E-2</v>
      </c>
      <c r="AB216" s="3">
        <v>-1.9993489655482699E-2</v>
      </c>
      <c r="AC216" s="3">
        <v>-2.9212365736290644E-2</v>
      </c>
      <c r="AD216" s="3">
        <v>3.6628905730145245E-3</v>
      </c>
      <c r="AE216" s="3">
        <v>-6.951256046962824E-2</v>
      </c>
      <c r="AF216" s="3">
        <v>-0.23178081930585551</v>
      </c>
      <c r="AG216" s="3">
        <v>-5.4249997547467779E-3</v>
      </c>
      <c r="AH216" s="3">
        <v>-2.7504990993564807E-2</v>
      </c>
      <c r="AI216" s="3">
        <v>-1.5339413260015396E-2</v>
      </c>
      <c r="AJ216" s="3">
        <v>-2.8879742420260798E-2</v>
      </c>
      <c r="AK216" s="3">
        <v>9.6296296296296213E-2</v>
      </c>
      <c r="AL216" s="3">
        <v>-3.8481508500462264E-3</v>
      </c>
      <c r="AM216" s="3">
        <v>-2.6687152216350343E-2</v>
      </c>
      <c r="AN216" s="3">
        <v>-1.6073306772908386E-2</v>
      </c>
    </row>
    <row r="217" spans="1:40" x14ac:dyDescent="0.3">
      <c r="A217" s="101">
        <v>44623</v>
      </c>
      <c r="B217" s="3">
        <v>-9.0195465792136716E-3</v>
      </c>
      <c r="C217" s="3">
        <v>-9.1973354200963527E-3</v>
      </c>
      <c r="D217" s="3">
        <v>-1.8616970242270683E-2</v>
      </c>
      <c r="E217" s="3">
        <v>-1.3177686578411332E-2</v>
      </c>
      <c r="F217" s="3">
        <v>-1.7233930936026452E-2</v>
      </c>
      <c r="G217" s="3">
        <v>2.8892159037292161E-3</v>
      </c>
      <c r="H217" s="3">
        <v>-1.3999812409462205E-3</v>
      </c>
      <c r="I217" s="3">
        <v>-5.5395219063401869E-4</v>
      </c>
      <c r="J217" s="3">
        <v>-3.528062458016212E-3</v>
      </c>
      <c r="K217" s="3">
        <v>1.1627906976744146E-2</v>
      </c>
      <c r="L217" s="3">
        <v>1.2113323252400433E-2</v>
      </c>
      <c r="M217" s="3">
        <v>0.20592097409573834</v>
      </c>
      <c r="N217" s="3">
        <v>-6.3771993703105939E-3</v>
      </c>
      <c r="O217" s="3">
        <v>-8.3147317977874202E-4</v>
      </c>
      <c r="P217" s="3">
        <v>3.7886392716171072E-2</v>
      </c>
      <c r="Q217" s="3">
        <v>-6.2157267233485955E-2</v>
      </c>
      <c r="R217" s="3">
        <v>-2.8571453124662926E-2</v>
      </c>
      <c r="S217" s="3">
        <v>-1.2582830620085942E-2</v>
      </c>
      <c r="T217" s="3">
        <v>-7.9364873228382378E-3</v>
      </c>
      <c r="U217" s="3">
        <v>-1.8366879563909946E-2</v>
      </c>
      <c r="V217" s="3">
        <v>-9.7222633495187422E-3</v>
      </c>
      <c r="W217" s="3">
        <v>6.4646491727967562E-2</v>
      </c>
      <c r="X217" s="3">
        <v>3.4305317324185333E-2</v>
      </c>
      <c r="Y217" s="3">
        <v>-2.3912106186078488E-2</v>
      </c>
      <c r="Z217" s="3">
        <v>-4.850746268656702E-2</v>
      </c>
      <c r="AA217" s="3">
        <v>1.605662841747111E-2</v>
      </c>
      <c r="AB217" s="3">
        <v>4.1635392512373677E-3</v>
      </c>
      <c r="AC217" s="3">
        <v>-1.2050842912161991E-2</v>
      </c>
      <c r="AD217" s="3">
        <v>3.6497327424302546E-3</v>
      </c>
      <c r="AE217" s="3">
        <v>-2.6064279124599246E-3</v>
      </c>
      <c r="AF217" s="3">
        <v>-5.3494977987736454E-2</v>
      </c>
      <c r="AG217" s="3">
        <v>3.4545454545454615E-2</v>
      </c>
      <c r="AH217" s="3">
        <v>-5.4545309378132102E-2</v>
      </c>
      <c r="AI217" s="3">
        <v>-5.2455357677043173E-2</v>
      </c>
      <c r="AJ217" s="3">
        <v>-3.3944322910263849E-2</v>
      </c>
      <c r="AK217" s="3">
        <v>3.3783783783784566E-3</v>
      </c>
      <c r="AL217" s="3">
        <v>-3.4224913385920175E-4</v>
      </c>
      <c r="AM217" s="3">
        <v>-3.4465569149845617E-2</v>
      </c>
      <c r="AN217" s="3">
        <v>-1.3219628968568839E-2</v>
      </c>
    </row>
    <row r="218" spans="1:40" x14ac:dyDescent="0.3">
      <c r="A218" s="101">
        <v>44624</v>
      </c>
      <c r="B218" s="3">
        <v>4.6674986154956084E-3</v>
      </c>
      <c r="C218" s="3">
        <v>-1.265804121222801E-3</v>
      </c>
      <c r="D218" s="3">
        <v>2.1680117447887462E-2</v>
      </c>
      <c r="E218" s="3">
        <v>-7.1418741662233678E-3</v>
      </c>
      <c r="F218" s="3">
        <v>-2.192018457378039E-2</v>
      </c>
      <c r="G218" s="3">
        <v>-1.4686087089035448E-2</v>
      </c>
      <c r="H218" s="3">
        <v>2.2368485135219533E-3</v>
      </c>
      <c r="I218" s="3">
        <v>1.1640749842311466E-2</v>
      </c>
      <c r="J218" s="3">
        <v>9.2058303584082006E-3</v>
      </c>
      <c r="K218" s="3">
        <v>-1.1494252873562975E-3</v>
      </c>
      <c r="L218" s="3">
        <v>-1.3177686578411332E-2</v>
      </c>
      <c r="M218" s="3">
        <v>0.35062363888338943</v>
      </c>
      <c r="N218" s="3">
        <v>-1.7244385611811281E-3</v>
      </c>
      <c r="O218" s="3">
        <v>-2.0812327012237111E-4</v>
      </c>
      <c r="P218" s="3">
        <v>-2.8338136407300665E-2</v>
      </c>
      <c r="Q218" s="3">
        <v>-1.9493135534402344E-2</v>
      </c>
      <c r="R218" s="3">
        <v>4.1848807087994183E-2</v>
      </c>
      <c r="S218" s="3">
        <v>-5.2647043981165337E-4</v>
      </c>
      <c r="T218" s="3">
        <v>-2.239995428343188E-3</v>
      </c>
      <c r="U218" s="3">
        <v>1.7358021561774132E-2</v>
      </c>
      <c r="V218" s="3">
        <v>7.0126857916676232E-3</v>
      </c>
      <c r="W218" s="3">
        <v>0.10436436927111552</v>
      </c>
      <c r="X218" s="3">
        <v>2.8192399115533461E-2</v>
      </c>
      <c r="Y218" s="3">
        <v>4.9315640253694198E-2</v>
      </c>
      <c r="Z218" s="3">
        <v>2.7450980392156855E-2</v>
      </c>
      <c r="AA218" s="3">
        <v>-3.3854380976989687E-2</v>
      </c>
      <c r="AB218" s="3">
        <v>5.1413756012297883E-3</v>
      </c>
      <c r="AC218" s="3">
        <v>1.5354807898213788E-2</v>
      </c>
      <c r="AD218" s="3">
        <v>6.6115088686061283E-3</v>
      </c>
      <c r="AE218" s="3">
        <v>-3.4002859297318611E-2</v>
      </c>
      <c r="AF218" s="3">
        <v>-0.27309722406865894</v>
      </c>
      <c r="AG218" s="3">
        <v>8.78730228470994E-3</v>
      </c>
      <c r="AH218" s="3">
        <v>2.5641097819047408E-2</v>
      </c>
      <c r="AI218" s="3">
        <v>2.3118812394145897E-3</v>
      </c>
      <c r="AJ218" s="3">
        <v>3.3815448026226068E-2</v>
      </c>
      <c r="AK218" s="3">
        <v>-1.6835016835016925E-2</v>
      </c>
      <c r="AL218" s="3">
        <v>-4.3094757418561088E-3</v>
      </c>
      <c r="AM218" s="3">
        <v>1.0320970359174612E-2</v>
      </c>
      <c r="AN218" s="3">
        <v>1.8941061657480451E-3</v>
      </c>
    </row>
    <row r="219" spans="1:40" x14ac:dyDescent="0.3">
      <c r="A219" s="101">
        <v>44627</v>
      </c>
      <c r="B219" s="3">
        <v>-3.0198009607669825E-3</v>
      </c>
      <c r="C219" s="3">
        <v>8.0270258460620678E-3</v>
      </c>
      <c r="D219" s="3">
        <v>-2.6524747703904074E-3</v>
      </c>
      <c r="E219" s="3">
        <v>5.9944863368003821E-3</v>
      </c>
      <c r="F219" s="3">
        <v>-2.0170434845006004E-2</v>
      </c>
      <c r="G219" s="3">
        <v>-1.1631614928728008E-2</v>
      </c>
      <c r="H219" s="3">
        <v>4.4949514232855902E-3</v>
      </c>
      <c r="I219" s="3">
        <v>2.7396880398822651E-3</v>
      </c>
      <c r="J219" s="3">
        <v>-1.3799638021969842E-2</v>
      </c>
      <c r="K219" s="3">
        <v>1.1507479861909997E-3</v>
      </c>
      <c r="L219" s="3">
        <v>-7.1418741662233678E-3</v>
      </c>
      <c r="M219" s="3">
        <v>-0.48929932571093521</v>
      </c>
      <c r="N219" s="3">
        <v>7.3890264710961603E-3</v>
      </c>
      <c r="O219" s="3">
        <v>1.6510484907073224E-2</v>
      </c>
      <c r="P219" s="3">
        <v>-1.9772120612951889E-3</v>
      </c>
      <c r="Q219" s="3">
        <v>-3.3797241429726288E-2</v>
      </c>
      <c r="R219" s="3">
        <v>4.1941400525745331E-3</v>
      </c>
      <c r="S219" s="3">
        <v>2.8720959654345451E-3</v>
      </c>
      <c r="T219" s="3">
        <v>1.2828339902025343E-3</v>
      </c>
      <c r="U219" s="3">
        <v>-1.1300741624823652E-2</v>
      </c>
      <c r="V219" s="3">
        <v>4.1782412489768748E-3</v>
      </c>
      <c r="W219" s="3">
        <v>-4.6821307117560301E-2</v>
      </c>
      <c r="X219" s="3">
        <v>-3.7634461353912345E-2</v>
      </c>
      <c r="Y219" s="3">
        <v>2.3163059619084082E-3</v>
      </c>
      <c r="Z219" s="3">
        <v>2.798982188295162E-2</v>
      </c>
      <c r="AA219" s="3">
        <v>-1.1992668772027756E-2</v>
      </c>
      <c r="AB219" s="3">
        <v>1.4850811715336021E-3</v>
      </c>
      <c r="AC219" s="3">
        <v>2.7559954431345717E-2</v>
      </c>
      <c r="AD219" s="3">
        <v>5.9880183517699208E-3</v>
      </c>
      <c r="AE219" s="3">
        <v>-1.9653209902964309E-2</v>
      </c>
      <c r="AF219" s="3">
        <v>-6.6763366399514287E-2</v>
      </c>
      <c r="AG219" s="3">
        <v>1.3066638199765869E-3</v>
      </c>
      <c r="AH219" s="3">
        <v>1.7708170814378945E-2</v>
      </c>
      <c r="AI219" s="3">
        <v>1.4737180862790023E-3</v>
      </c>
      <c r="AJ219" s="3">
        <v>3.7596237067170075E-3</v>
      </c>
      <c r="AK219" s="3">
        <v>-3.0821917808219131E-2</v>
      </c>
      <c r="AL219" s="3">
        <v>1.0021910934024134E-2</v>
      </c>
      <c r="AM219" s="3">
        <v>1.1613077727304327E-2</v>
      </c>
      <c r="AN219" s="3">
        <v>7.7653102507817323E-3</v>
      </c>
    </row>
    <row r="220" spans="1:40" x14ac:dyDescent="0.3">
      <c r="A220" s="101">
        <v>44628</v>
      </c>
      <c r="B220" s="3">
        <v>1.3979562006835932E-2</v>
      </c>
      <c r="C220" s="3">
        <v>-2.3051211827031483E-2</v>
      </c>
      <c r="D220" s="3">
        <v>1.3297645521202621E-2</v>
      </c>
      <c r="E220" s="3">
        <v>-1.1619544094726776E-2</v>
      </c>
      <c r="F220" s="3">
        <v>-2.2415372938562883E-2</v>
      </c>
      <c r="G220" s="3">
        <v>8.7459839228296622E-3</v>
      </c>
      <c r="H220" s="3">
        <v>-9.3988859555766346E-4</v>
      </c>
      <c r="I220" s="3">
        <v>-3.2786991703520119E-3</v>
      </c>
      <c r="J220" s="3">
        <v>2.2529813627733949E-3</v>
      </c>
      <c r="K220" s="3">
        <v>0</v>
      </c>
      <c r="L220" s="3">
        <v>5.9944863368003821E-3</v>
      </c>
      <c r="M220" s="3">
        <v>-0.29908151549942597</v>
      </c>
      <c r="N220" s="3">
        <v>-5.6200821489941315E-3</v>
      </c>
      <c r="O220" s="3">
        <v>-5.3231458154467601E-3</v>
      </c>
      <c r="P220" s="3">
        <v>3.0212876165781319E-2</v>
      </c>
      <c r="Q220" s="3">
        <v>2.983539646858175E-2</v>
      </c>
      <c r="R220" s="3">
        <v>0</v>
      </c>
      <c r="S220" s="3">
        <v>2.7102819561975276E-2</v>
      </c>
      <c r="T220" s="3">
        <v>-1.6015398097251016E-2</v>
      </c>
      <c r="U220" s="3">
        <v>-8.5163216523428658E-3</v>
      </c>
      <c r="V220" s="3">
        <v>-6.934760308478111E-3</v>
      </c>
      <c r="W220" s="3">
        <v>-5.0474768818882096E-3</v>
      </c>
      <c r="X220" s="3">
        <v>-1.815634128928325E-2</v>
      </c>
      <c r="Y220" s="3">
        <v>-3.7462684803495648E-2</v>
      </c>
      <c r="Z220" s="3">
        <v>-3.7128712871287106E-2</v>
      </c>
      <c r="AA220" s="3">
        <v>3.9801080798951886E-2</v>
      </c>
      <c r="AB220" s="3">
        <v>-1.2274626314414654E-2</v>
      </c>
      <c r="AC220" s="3">
        <v>-9.6967434568556894E-3</v>
      </c>
      <c r="AD220" s="3">
        <v>2.9762049256975417E-3</v>
      </c>
      <c r="AE220" s="3">
        <v>3.7135482116362466E-2</v>
      </c>
      <c r="AF220" s="3">
        <v>3.5547609159316658E-2</v>
      </c>
      <c r="AG220" s="3">
        <v>0</v>
      </c>
      <c r="AH220" s="3">
        <v>3.0706332781801297E-3</v>
      </c>
      <c r="AI220" s="3">
        <v>-6.2699299356700601E-3</v>
      </c>
      <c r="AJ220" s="3">
        <v>-4.0454081665294607E-3</v>
      </c>
      <c r="AK220" s="3">
        <v>-1.7667844522968292E-2</v>
      </c>
      <c r="AL220" s="3">
        <v>-1.9943091807256953E-4</v>
      </c>
      <c r="AM220" s="3">
        <v>-1.0895942930731299E-3</v>
      </c>
      <c r="AN220" s="3">
        <v>-6.6455963731899756E-3</v>
      </c>
    </row>
    <row r="221" spans="1:40" x14ac:dyDescent="0.3">
      <c r="A221" s="101">
        <v>44629</v>
      </c>
      <c r="B221" s="3">
        <v>-3.6764366905960499E-3</v>
      </c>
      <c r="C221" s="3">
        <v>-2.7883973625614507E-3</v>
      </c>
      <c r="D221" s="3">
        <v>-5.2492554699908765E-3</v>
      </c>
      <c r="E221" s="3">
        <v>1.9765771595629301E-2</v>
      </c>
      <c r="F221" s="3">
        <v>2.0589662548098218E-2</v>
      </c>
      <c r="G221" s="3">
        <v>1.6574939383605086E-3</v>
      </c>
      <c r="H221" s="3">
        <v>4.2334776773980199E-3</v>
      </c>
      <c r="I221" s="3">
        <v>-1.0416635073192957E-2</v>
      </c>
      <c r="J221" s="3">
        <v>-2.6857592246309885E-2</v>
      </c>
      <c r="K221" s="3">
        <v>0</v>
      </c>
      <c r="L221" s="3">
        <v>-1.1619544094726776E-2</v>
      </c>
      <c r="M221" s="3">
        <v>0.6478296478296478</v>
      </c>
      <c r="N221" s="3">
        <v>-2.3950088681501413E-3</v>
      </c>
      <c r="O221" s="3">
        <v>6.2437156441104147E-3</v>
      </c>
      <c r="P221" s="3">
        <v>-9.1345196699287937E-3</v>
      </c>
      <c r="Q221" s="3">
        <v>-2.9969772772038988E-3</v>
      </c>
      <c r="R221" s="3">
        <v>0</v>
      </c>
      <c r="S221" s="3">
        <v>0</v>
      </c>
      <c r="T221" s="3">
        <v>5.5339136544150609E-3</v>
      </c>
      <c r="U221" s="3">
        <v>-1.4014538221027379E-2</v>
      </c>
      <c r="V221" s="3">
        <v>-2.7932748117522983E-3</v>
      </c>
      <c r="W221" s="3">
        <v>3.7684746059546657E-2</v>
      </c>
      <c r="X221" s="3">
        <v>-9.1038401647886187E-3</v>
      </c>
      <c r="Y221" s="3">
        <v>1.7817602380296987E-2</v>
      </c>
      <c r="Z221" s="3">
        <v>1.7994858611825152E-2</v>
      </c>
      <c r="AA221" s="3">
        <v>5.0832205470006872E-2</v>
      </c>
      <c r="AB221" s="3">
        <v>1.8765787569257848E-2</v>
      </c>
      <c r="AC221" s="3">
        <v>2.2673607638888801E-2</v>
      </c>
      <c r="AD221" s="3">
        <v>-4.2861526396148963E-3</v>
      </c>
      <c r="AE221" s="3">
        <v>4.4268490827081758E-2</v>
      </c>
      <c r="AF221" s="3">
        <v>-3.2396473274838855E-2</v>
      </c>
      <c r="AG221" s="3">
        <v>-9.5693779904305731E-3</v>
      </c>
      <c r="AH221" s="3">
        <v>-3.2653052361112239E-2</v>
      </c>
      <c r="AI221" s="3">
        <v>1.0880716930451281E-2</v>
      </c>
      <c r="AJ221" s="3">
        <v>-4.5115882766225048E-4</v>
      </c>
      <c r="AK221" s="3">
        <v>2.5179856115108017E-2</v>
      </c>
      <c r="AL221" s="3">
        <v>6.3681854889713202E-3</v>
      </c>
      <c r="AM221" s="3">
        <v>1.6108529107252093E-2</v>
      </c>
      <c r="AN221" s="3">
        <v>1.2696006276222608E-2</v>
      </c>
    </row>
    <row r="222" spans="1:40" x14ac:dyDescent="0.3">
      <c r="A222" s="101">
        <v>44630</v>
      </c>
      <c r="B222" s="3">
        <v>7.1494162011139905E-3</v>
      </c>
      <c r="C222" s="3">
        <v>-4.3020015760971897E-3</v>
      </c>
      <c r="D222" s="3">
        <v>2.1108086634294875E-2</v>
      </c>
      <c r="E222" s="3">
        <v>-1.2541750282826437E-2</v>
      </c>
      <c r="F222" s="3">
        <v>6.4190485274854886E-3</v>
      </c>
      <c r="G222" s="3">
        <v>5.4480637553482668E-2</v>
      </c>
      <c r="H222" s="3">
        <v>6.5094300632344351E-3</v>
      </c>
      <c r="I222" s="3">
        <v>2.7700447401528888E-3</v>
      </c>
      <c r="J222" s="3">
        <v>-5.4710833291618599E-3</v>
      </c>
      <c r="K222" s="3">
        <v>0</v>
      </c>
      <c r="L222" s="3">
        <v>1.9765771595629301E-2</v>
      </c>
      <c r="M222" s="3">
        <v>-0.29212226640159045</v>
      </c>
      <c r="N222" s="3">
        <v>1.4979905148691311E-2</v>
      </c>
      <c r="O222" s="3">
        <v>-6.8236358521595944E-5</v>
      </c>
      <c r="P222" s="3">
        <v>1.2615234710565904E-2</v>
      </c>
      <c r="Q222" s="3">
        <v>3.1062111816026344E-2</v>
      </c>
      <c r="R222" s="3">
        <v>0</v>
      </c>
      <c r="S222" s="3">
        <v>1.9543423556859568E-3</v>
      </c>
      <c r="T222" s="3">
        <v>1.4567828933611186E-2</v>
      </c>
      <c r="U222" s="3">
        <v>3.4846475289644761E-2</v>
      </c>
      <c r="V222" s="3">
        <v>5.602198102354349E-3</v>
      </c>
      <c r="W222" s="3">
        <v>8.5115263924244663E-3</v>
      </c>
      <c r="X222" s="3">
        <v>-2.3830087635366783E-2</v>
      </c>
      <c r="Y222" s="3">
        <v>3.0045298405743222E-2</v>
      </c>
      <c r="Z222" s="3">
        <v>4.7979797979798081E-2</v>
      </c>
      <c r="AA222" s="3">
        <v>-9.2524578976151631E-3</v>
      </c>
      <c r="AB222" s="3">
        <v>6.9585246826539757E-3</v>
      </c>
      <c r="AC222" s="3">
        <v>1.4022357702177699E-2</v>
      </c>
      <c r="AD222" s="3">
        <v>-4.304602824373077E-3</v>
      </c>
      <c r="AE222" s="3">
        <v>1.8816972732254911E-2</v>
      </c>
      <c r="AF222" s="3">
        <v>-1.0199635733928994E-2</v>
      </c>
      <c r="AG222" s="3">
        <v>5.2700483091787428E-3</v>
      </c>
      <c r="AH222" s="3">
        <v>3.797468625054614E-2</v>
      </c>
      <c r="AI222" s="3">
        <v>2.6813490662849552E-2</v>
      </c>
      <c r="AJ222" s="3">
        <v>-2.7091181092390652E-3</v>
      </c>
      <c r="AK222" s="3">
        <v>-1.0526315789473771E-2</v>
      </c>
      <c r="AL222" s="3">
        <v>3.3413359564155129E-2</v>
      </c>
      <c r="AM222" s="3">
        <v>3.4045184448146193E-2</v>
      </c>
      <c r="AN222" s="3">
        <v>2.1628452452052142E-2</v>
      </c>
    </row>
    <row r="223" spans="1:40" x14ac:dyDescent="0.3">
      <c r="A223" s="101">
        <v>44631</v>
      </c>
      <c r="B223" s="3">
        <v>-1.2594472851460885E-2</v>
      </c>
      <c r="C223" s="3">
        <v>1.4905980303688369E-2</v>
      </c>
      <c r="D223" s="3">
        <v>-2.3255681473912784E-2</v>
      </c>
      <c r="E223" s="3">
        <v>-4.0625704121361695E-3</v>
      </c>
      <c r="F223" s="3">
        <v>6.8337500192442117E-3</v>
      </c>
      <c r="G223" s="3">
        <v>6.5638583367270492E-2</v>
      </c>
      <c r="H223" s="3">
        <v>-2.6587918066780613E-3</v>
      </c>
      <c r="I223" s="3">
        <v>-1.6022104575966801E-2</v>
      </c>
      <c r="J223" s="3">
        <v>6.723761487490286E-3</v>
      </c>
      <c r="K223" s="3">
        <v>-1.1494252873562975E-3</v>
      </c>
      <c r="L223" s="3">
        <v>-1.2541750282826437E-2</v>
      </c>
      <c r="M223" s="3">
        <v>0.78286817623310512</v>
      </c>
      <c r="N223" s="3">
        <v>3.6895807281386735E-3</v>
      </c>
      <c r="O223" s="3">
        <v>-1.3627173419356075E-4</v>
      </c>
      <c r="P223" s="3">
        <v>-7.6666024117583251E-3</v>
      </c>
      <c r="Q223" s="3">
        <v>6.8026632833774027E-3</v>
      </c>
      <c r="R223" s="3">
        <v>-4.4176688101808852E-2</v>
      </c>
      <c r="S223" s="3">
        <v>8.452615035068306E-3</v>
      </c>
      <c r="T223" s="3">
        <v>-1.6592217260790632E-2</v>
      </c>
      <c r="U223" s="3">
        <v>-5.981426880742738E-3</v>
      </c>
      <c r="V223" s="3">
        <v>2.6462424724673261E-2</v>
      </c>
      <c r="W223" s="3">
        <v>5.5615683988891759E-2</v>
      </c>
      <c r="X223" s="3">
        <v>1.4705882352941176E-2</v>
      </c>
      <c r="Y223" s="3">
        <v>3.5918798598394405E-2</v>
      </c>
      <c r="Z223" s="3">
        <v>4.6987951807228763E-2</v>
      </c>
      <c r="AA223" s="3">
        <v>4.427659192810806E-2</v>
      </c>
      <c r="AB223" s="3">
        <v>2.3577367454206723E-2</v>
      </c>
      <c r="AC223" s="3">
        <v>3.4319962039510314E-2</v>
      </c>
      <c r="AD223" s="3">
        <v>1.1972087717351877E-2</v>
      </c>
      <c r="AE223" s="3">
        <v>-1.0876725113770249E-2</v>
      </c>
      <c r="AF223" s="3">
        <v>-3.8978396608128657E-2</v>
      </c>
      <c r="AG223" s="3">
        <v>1.878554035760337E-2</v>
      </c>
      <c r="AH223" s="3">
        <v>4.1666683830953406E-2</v>
      </c>
      <c r="AI223" s="3">
        <v>1.8980189133068797E-2</v>
      </c>
      <c r="AJ223" s="3">
        <v>1.9542793790936441E-2</v>
      </c>
      <c r="AK223" s="3">
        <v>3.5460992907801449E-2</v>
      </c>
      <c r="AL223" s="3">
        <v>4.1071211537491645E-2</v>
      </c>
      <c r="AM223" s="3">
        <v>2.317303843747294E-3</v>
      </c>
      <c r="AN223" s="3">
        <v>2.0794045793216417E-2</v>
      </c>
    </row>
    <row r="224" spans="1:40" x14ac:dyDescent="0.3">
      <c r="A224" s="101">
        <v>44634</v>
      </c>
      <c r="B224" s="3">
        <v>5.3339387080247663E-3</v>
      </c>
      <c r="C224" s="3">
        <v>4.257281430312277E-4</v>
      </c>
      <c r="D224" s="3">
        <v>-3.9682661713845262E-2</v>
      </c>
      <c r="E224" s="3">
        <v>-2.0009527642754935E-2</v>
      </c>
      <c r="F224" s="3">
        <v>7.6922899107654576E-3</v>
      </c>
      <c r="G224" s="3">
        <v>-2.5601026263814147E-2</v>
      </c>
      <c r="H224" s="3">
        <v>-3.0021169213033769E-3</v>
      </c>
      <c r="I224" s="3">
        <v>-1.1791080843421082E-2</v>
      </c>
      <c r="J224" s="3">
        <v>-2.5500294820382042E-3</v>
      </c>
      <c r="K224" s="3">
        <v>1.1507479861909997E-3</v>
      </c>
      <c r="L224" s="3">
        <v>-4.0625704121361695E-3</v>
      </c>
      <c r="M224" s="3">
        <v>-0.15093039283252929</v>
      </c>
      <c r="N224" s="3">
        <v>-5.9383711178974665E-3</v>
      </c>
      <c r="O224" s="3">
        <v>4.5009383033762238E-3</v>
      </c>
      <c r="P224" s="3">
        <v>1.4486239231589829E-3</v>
      </c>
      <c r="Q224" s="3">
        <v>-6.7566997302059249E-3</v>
      </c>
      <c r="R224" s="3">
        <v>-2.5210077449268425E-2</v>
      </c>
      <c r="S224" s="3">
        <v>4.5130895360659673E-3</v>
      </c>
      <c r="T224" s="3">
        <v>-3.893553588413856E-3</v>
      </c>
      <c r="U224" s="3">
        <v>-6.6861470254597896E-4</v>
      </c>
      <c r="V224" s="3">
        <v>4.070525265808451E-3</v>
      </c>
      <c r="W224" s="3">
        <v>-1.2299831006396069E-3</v>
      </c>
      <c r="X224" s="3">
        <v>1.4492753623188406E-2</v>
      </c>
      <c r="Y224" s="3">
        <v>-8.726162131165782E-4</v>
      </c>
      <c r="Z224" s="3">
        <v>-4.6029919447639987E-3</v>
      </c>
      <c r="AA224" s="3">
        <v>8.2477532038788888E-4</v>
      </c>
      <c r="AB224" s="3">
        <v>2.4622333126269953E-3</v>
      </c>
      <c r="AC224" s="3">
        <v>-8.5785308526297923E-3</v>
      </c>
      <c r="AD224" s="3">
        <v>-2.6947189335521524E-2</v>
      </c>
      <c r="AE224" s="3">
        <v>9.4672348070148002E-2</v>
      </c>
      <c r="AF224" s="3">
        <v>3.3799491257429835E-2</v>
      </c>
      <c r="AG224" s="3">
        <v>-1.8867967409948488E-2</v>
      </c>
      <c r="AH224" s="3">
        <v>-4.8780627664507378E-3</v>
      </c>
      <c r="AI224" s="3">
        <v>-8.4610755021848564E-3</v>
      </c>
      <c r="AJ224" s="3">
        <v>1.5097803251946649E-2</v>
      </c>
      <c r="AK224" s="3">
        <v>3.4246575342466545E-3</v>
      </c>
      <c r="AL224" s="3">
        <v>-3.5939881321552658E-4</v>
      </c>
      <c r="AM224" s="3">
        <v>7.1393754441145133E-3</v>
      </c>
      <c r="AN224" s="3">
        <v>-9.0189137731526274E-4</v>
      </c>
    </row>
    <row r="225" spans="1:40" x14ac:dyDescent="0.3">
      <c r="A225" s="101">
        <v>44635</v>
      </c>
      <c r="B225" s="3">
        <v>-1.5686321595687357E-2</v>
      </c>
      <c r="C225" s="3">
        <v>-1.6595734703856085E-2</v>
      </c>
      <c r="D225" s="3">
        <v>2.7550506040407317E-3</v>
      </c>
      <c r="E225" s="3">
        <v>1.9015966739132403E-2</v>
      </c>
      <c r="F225" s="3">
        <v>3.4575702398262867E-2</v>
      </c>
      <c r="G225" s="3">
        <v>8.5447814113017041E-3</v>
      </c>
      <c r="H225" s="3">
        <v>-1.3317916210691637E-3</v>
      </c>
      <c r="I225" s="3">
        <v>1.9318205233905983E-2</v>
      </c>
      <c r="J225" s="3">
        <v>1.4608288922674107E-3</v>
      </c>
      <c r="K225" s="3">
        <v>5.7471264367816915E-3</v>
      </c>
      <c r="L225" s="3">
        <v>-2.0009527642754935E-2</v>
      </c>
      <c r="M225" s="3">
        <v>6.180426716141002E-2</v>
      </c>
      <c r="N225" s="3">
        <v>-2.2757024210209643E-3</v>
      </c>
      <c r="O225" s="3">
        <v>1.1406070666385488E-2</v>
      </c>
      <c r="P225" s="3">
        <v>-4.3394406943105049E-3</v>
      </c>
      <c r="Q225" s="3">
        <v>5.8309158188856623E-3</v>
      </c>
      <c r="R225" s="3">
        <v>3.0086182932286092E-2</v>
      </c>
      <c r="S225" s="3">
        <v>8.1835932496781404E-3</v>
      </c>
      <c r="T225" s="3">
        <v>1.2377829264649396E-2</v>
      </c>
      <c r="U225" s="3">
        <v>-2.4531621046882706E-2</v>
      </c>
      <c r="V225" s="3">
        <v>2.7026821792270699E-3</v>
      </c>
      <c r="W225" s="3">
        <v>1.1904732342057047E-2</v>
      </c>
      <c r="X225" s="3">
        <v>2.8571428571428571E-2</v>
      </c>
      <c r="Y225" s="3">
        <v>-2.3295678837321722E-4</v>
      </c>
      <c r="Z225" s="3">
        <v>-1.040462427745663E-2</v>
      </c>
      <c r="AA225" s="3">
        <v>-2.9857426949778724E-2</v>
      </c>
      <c r="AB225" s="3">
        <v>1.3390336871093889E-2</v>
      </c>
      <c r="AC225" s="3">
        <v>2.2301266169226477E-2</v>
      </c>
      <c r="AD225" s="3">
        <v>1.046946727143331E-2</v>
      </c>
      <c r="AE225" s="3">
        <v>7.0958010837826506E-3</v>
      </c>
      <c r="AF225" s="3">
        <v>-1.0372024450974297E-2</v>
      </c>
      <c r="AG225" s="3">
        <v>7.8671332109760891E-3</v>
      </c>
      <c r="AH225" s="3">
        <v>5.882369889276361E-3</v>
      </c>
      <c r="AI225" s="3">
        <v>-8.2878044281006705E-3</v>
      </c>
      <c r="AJ225" s="3">
        <v>-4.5206273504259792E-3</v>
      </c>
      <c r="AK225" s="3">
        <v>3.0716723549488005E-2</v>
      </c>
      <c r="AL225" s="3">
        <v>1.1205735173685106E-2</v>
      </c>
      <c r="AM225" s="3">
        <v>4.5175855673517335E-3</v>
      </c>
      <c r="AN225" s="3">
        <v>1.7237340195321322E-2</v>
      </c>
    </row>
    <row r="226" spans="1:40" x14ac:dyDescent="0.3">
      <c r="A226" s="101">
        <v>44636</v>
      </c>
      <c r="B226" s="3">
        <v>-2.343521168986533E-3</v>
      </c>
      <c r="C226" s="3">
        <v>-7.5725629831694414E-3</v>
      </c>
      <c r="D226" s="3">
        <v>1.2101030222843326E-2</v>
      </c>
      <c r="E226" s="3">
        <v>-2.5800028837626588E-4</v>
      </c>
      <c r="F226" s="3">
        <v>-1.2586816321289539E-2</v>
      </c>
      <c r="G226" s="3">
        <v>1.4405348133901042E-4</v>
      </c>
      <c r="H226" s="3">
        <v>1.9779530597968486E-3</v>
      </c>
      <c r="I226" s="3">
        <v>0</v>
      </c>
      <c r="J226" s="3">
        <v>2.7958873560508684E-3</v>
      </c>
      <c r="K226" s="3">
        <v>-5.828571428571426E-2</v>
      </c>
      <c r="L226" s="3">
        <v>1.9015966739132403E-2</v>
      </c>
      <c r="M226" s="3">
        <v>-0.19799060827782025</v>
      </c>
      <c r="N226" s="3">
        <v>8.1733959329741979E-3</v>
      </c>
      <c r="O226" s="3">
        <v>-1.0203311782717167E-2</v>
      </c>
      <c r="P226" s="3">
        <v>-5.3268280871669937E-3</v>
      </c>
      <c r="Q226" s="3">
        <v>-2.1256101510432893E-2</v>
      </c>
      <c r="R226" s="3">
        <v>4.176091700720036E-2</v>
      </c>
      <c r="S226" s="3">
        <v>-6.8439244332867298E-3</v>
      </c>
      <c r="T226" s="3">
        <v>9.3307959392205132E-3</v>
      </c>
      <c r="U226" s="3">
        <v>1.5546332084090867E-2</v>
      </c>
      <c r="V226" s="3">
        <v>-6.7384934347995504E-3</v>
      </c>
      <c r="W226" s="3">
        <v>-6.0852485709653155E-3</v>
      </c>
      <c r="X226" s="3">
        <v>-3.2222222222222124E-2</v>
      </c>
      <c r="Y226" s="3">
        <v>5.8244613714237626E-4</v>
      </c>
      <c r="Z226" s="3">
        <v>3.5046728971961866E-3</v>
      </c>
      <c r="AA226" s="3">
        <v>1.912159450899786E-2</v>
      </c>
      <c r="AB226" s="3">
        <v>1.9233847118461229E-2</v>
      </c>
      <c r="AC226" s="3">
        <v>-2.2360024559831516E-4</v>
      </c>
      <c r="AD226" s="3">
        <v>-1.5040144672484273E-2</v>
      </c>
      <c r="AE226" s="3">
        <v>2.973027081539158E-2</v>
      </c>
      <c r="AF226" s="3">
        <v>-3.6454824512366306E-2</v>
      </c>
      <c r="AG226" s="3">
        <v>9.540416719011886E-3</v>
      </c>
      <c r="AH226" s="3">
        <v>3.1189074386498029E-2</v>
      </c>
      <c r="AI226" s="3">
        <v>1.9747412563886655E-2</v>
      </c>
      <c r="AJ226" s="3">
        <v>-2.0945974204392221E-2</v>
      </c>
      <c r="AK226" s="3">
        <v>-6.6225165562913968E-3</v>
      </c>
      <c r="AL226" s="3">
        <v>7.0054584918257988E-3</v>
      </c>
      <c r="AM226" s="3">
        <v>1.3875988845792156E-2</v>
      </c>
      <c r="AN226" s="3">
        <v>6.0712389324996665E-3</v>
      </c>
    </row>
    <row r="227" spans="1:40" x14ac:dyDescent="0.3">
      <c r="A227" s="101">
        <v>44637</v>
      </c>
      <c r="B227" s="3">
        <v>1.5503903912739505E-2</v>
      </c>
      <c r="C227" s="3">
        <v>1.482457076471887E-2</v>
      </c>
      <c r="D227" s="3">
        <v>-5.434702780511419E-3</v>
      </c>
      <c r="E227" s="3">
        <v>-3.6471552209613352E-2</v>
      </c>
      <c r="F227" s="3">
        <v>1.538455425485122E-2</v>
      </c>
      <c r="G227" s="3">
        <v>-1.3801674141656619E-2</v>
      </c>
      <c r="H227" s="3">
        <v>-6.603089007576852E-4</v>
      </c>
      <c r="I227" s="3">
        <v>5.0167098983140909E-3</v>
      </c>
      <c r="J227" s="3">
        <v>-6.6672427406632368E-3</v>
      </c>
      <c r="K227" s="3">
        <v>5.946601941747575E-2</v>
      </c>
      <c r="L227" s="3">
        <v>-2.5800028837626588E-4</v>
      </c>
      <c r="M227" s="3">
        <v>-0.10035403050108932</v>
      </c>
      <c r="N227" s="3">
        <v>-1.8847482647853239E-4</v>
      </c>
      <c r="O227" s="3">
        <v>-3.2554961709766444E-3</v>
      </c>
      <c r="P227" s="3">
        <v>1.6552969009105762E-2</v>
      </c>
      <c r="Q227" s="3">
        <v>2.2704831855432459E-2</v>
      </c>
      <c r="R227" s="3">
        <v>4.1772933485137598E-3</v>
      </c>
      <c r="S227" s="3">
        <v>3.2084074577465606E-3</v>
      </c>
      <c r="T227" s="3">
        <v>5.4191514184074091E-3</v>
      </c>
      <c r="U227" s="3">
        <v>8.3296509913866387E-3</v>
      </c>
      <c r="V227" s="3">
        <v>1.3568417504853868E-3</v>
      </c>
      <c r="W227" s="3">
        <v>1.2653215066209044E-2</v>
      </c>
      <c r="X227" s="3">
        <v>-4.8795063145810492E-3</v>
      </c>
      <c r="Y227" s="3">
        <v>5.9371593841008267E-3</v>
      </c>
      <c r="Z227" s="3">
        <v>8.1490104772992192E-3</v>
      </c>
      <c r="AA227" s="3">
        <v>-9.9151535246705339E-3</v>
      </c>
      <c r="AB227" s="3">
        <v>2.0251598097098682E-2</v>
      </c>
      <c r="AC227" s="3">
        <v>-1.7890167391195178E-3</v>
      </c>
      <c r="AD227" s="3">
        <v>7.1259724795559448E-3</v>
      </c>
      <c r="AE227" s="3">
        <v>2.6296313684861274E-3</v>
      </c>
      <c r="AF227" s="3">
        <v>-9.6948387575040984E-3</v>
      </c>
      <c r="AG227" s="3">
        <v>1.1168384399983557E-2</v>
      </c>
      <c r="AH227" s="3">
        <v>4.2344128730227817E-2</v>
      </c>
      <c r="AI227" s="3">
        <v>1.2748251733402129E-2</v>
      </c>
      <c r="AJ227" s="3">
        <v>1.3240435438487968E-2</v>
      </c>
      <c r="AK227" s="3">
        <v>-1.6666666666666607E-2</v>
      </c>
      <c r="AL227" s="3">
        <v>9.022494287489571E-3</v>
      </c>
      <c r="AM227" s="3">
        <v>1.3162771423838599E-3</v>
      </c>
      <c r="AN227" s="3">
        <v>2.2095626880747461E-2</v>
      </c>
    </row>
    <row r="228" spans="1:40" x14ac:dyDescent="0.3">
      <c r="A228" s="101">
        <v>44638</v>
      </c>
      <c r="B228" s="3">
        <v>-1.457321056648616E-2</v>
      </c>
      <c r="C228" s="3">
        <v>-3.3386968947483782E-3</v>
      </c>
      <c r="D228" s="3">
        <v>0</v>
      </c>
      <c r="E228" s="3">
        <v>9.6861637102244828E-3</v>
      </c>
      <c r="F228" s="3">
        <v>-9.0908735334818969E-3</v>
      </c>
      <c r="G228" s="3">
        <v>-6.5591441614824234E-2</v>
      </c>
      <c r="H228" s="3">
        <v>2.5707117808804044E-3</v>
      </c>
      <c r="I228" s="3">
        <v>-1.6638704423185902E-3</v>
      </c>
      <c r="J228" s="3">
        <v>-7.3239410644705748E-4</v>
      </c>
      <c r="K228" s="3">
        <v>-5.4982817869415855E-2</v>
      </c>
      <c r="L228" s="3">
        <v>-3.6471552209613352E-2</v>
      </c>
      <c r="M228" s="3">
        <v>0.53186014832753137</v>
      </c>
      <c r="N228" s="3">
        <v>-3.2057317000930333E-3</v>
      </c>
      <c r="O228" s="3">
        <v>-1.5853655371954871E-2</v>
      </c>
      <c r="P228" s="3">
        <v>-4.0229791198744848E-2</v>
      </c>
      <c r="Q228" s="3">
        <v>6.7567604634489013E-3</v>
      </c>
      <c r="R228" s="3">
        <v>0</v>
      </c>
      <c r="S228" s="3">
        <v>6.3898100585880347E-3</v>
      </c>
      <c r="T228" s="3">
        <v>-1.0145885270610838E-2</v>
      </c>
      <c r="U228" s="3">
        <v>0</v>
      </c>
      <c r="V228" s="3">
        <v>3.523030799925559E-2</v>
      </c>
      <c r="W228" s="3">
        <v>-2.6199185443452781E-2</v>
      </c>
      <c r="X228" s="3">
        <v>2.3940064836461782E-2</v>
      </c>
      <c r="Y228" s="3">
        <v>1.7127600278363603E-2</v>
      </c>
      <c r="Z228" s="3">
        <v>-2.3094688221708512E-3</v>
      </c>
      <c r="AA228" s="3">
        <v>3.6867411985837643E-2</v>
      </c>
      <c r="AB228" s="3">
        <v>-1.3233193869160264E-2</v>
      </c>
      <c r="AC228" s="3">
        <v>-2.9443193576741944E-3</v>
      </c>
      <c r="AD228" s="3">
        <v>3.3692922370825236E-3</v>
      </c>
      <c r="AE228" s="3">
        <v>-6.7976475213012031E-3</v>
      </c>
      <c r="AF228" s="3">
        <v>-5.0382057522877867E-2</v>
      </c>
      <c r="AG228" s="3">
        <v>1.0195411631460781E-2</v>
      </c>
      <c r="AH228" s="3">
        <v>-2.3395023156656699E-2</v>
      </c>
      <c r="AI228" s="3">
        <v>1.132884961258635E-2</v>
      </c>
      <c r="AJ228" s="3">
        <v>8.7855910461911383E-3</v>
      </c>
      <c r="AK228" s="3">
        <v>-6.4406779661017072E-2</v>
      </c>
      <c r="AL228" s="3">
        <v>-1.3600862806454063E-2</v>
      </c>
      <c r="AM228" s="3">
        <v>-4.5559579498151547E-3</v>
      </c>
      <c r="AN228" s="3">
        <v>2.1321214510874485E-3</v>
      </c>
    </row>
    <row r="229" spans="1:40" x14ac:dyDescent="0.3">
      <c r="A229" s="101">
        <v>44642</v>
      </c>
      <c r="B229" s="3">
        <v>8.9201541870189832E-3</v>
      </c>
      <c r="C229" s="3">
        <v>8.4287875513290138E-3</v>
      </c>
      <c r="D229" s="3">
        <v>0</v>
      </c>
      <c r="E229" s="3">
        <v>-4.4176285225633726E-5</v>
      </c>
      <c r="F229" s="3">
        <v>-3.2328559501853343E-2</v>
      </c>
      <c r="G229" s="3">
        <v>-2.1889499864833506E-4</v>
      </c>
      <c r="H229" s="3">
        <v>7.2083699472774156E-5</v>
      </c>
      <c r="I229" s="3">
        <v>1.6666605957276013E-2</v>
      </c>
      <c r="J229" s="3">
        <v>-1.257939385675195E-2</v>
      </c>
      <c r="K229" s="3">
        <v>2.0606060606060597E-2</v>
      </c>
      <c r="L229" s="3">
        <v>9.6861637102244828E-3</v>
      </c>
      <c r="M229" s="3">
        <v>0.30688667127754177</v>
      </c>
      <c r="N229" s="3">
        <v>1.5890991432398555E-2</v>
      </c>
      <c r="O229" s="3">
        <v>-8.6420372823474423E-3</v>
      </c>
      <c r="P229" s="3">
        <v>2.0459080815415136E-2</v>
      </c>
      <c r="Q229" s="3">
        <v>1.9175898176123809E-3</v>
      </c>
      <c r="R229" s="3">
        <v>2.0160000279762891E-2</v>
      </c>
      <c r="S229" s="3">
        <v>-6.0349325255040255E-3</v>
      </c>
      <c r="T229" s="3">
        <v>2.4663692363658632E-2</v>
      </c>
      <c r="U229" s="3">
        <v>1.2279491319114478E-2</v>
      </c>
      <c r="V229" s="3">
        <v>-6.5444530593816788E-3</v>
      </c>
      <c r="W229" s="3">
        <v>8.6921019424309274E-3</v>
      </c>
      <c r="X229" s="3">
        <v>-2.1408394366197268E-2</v>
      </c>
      <c r="Y229" s="3">
        <v>2.5543321342264863E-2</v>
      </c>
      <c r="Z229" s="3">
        <v>1.6203703703703564E-2</v>
      </c>
      <c r="AA229" s="3">
        <v>8.5956902395834034E-2</v>
      </c>
      <c r="AB229" s="3">
        <v>2.4306745952292166E-2</v>
      </c>
      <c r="AC229" s="3">
        <v>-5.7135486569237894E-3</v>
      </c>
      <c r="AD229" s="3">
        <v>4.3653122551921336E-3</v>
      </c>
      <c r="AE229" s="3">
        <v>4.5403120896248143E-2</v>
      </c>
      <c r="AF229" s="3">
        <v>1.8104168854102935E-2</v>
      </c>
      <c r="AG229" s="3">
        <v>-1.21951634905314E-2</v>
      </c>
      <c r="AH229" s="3">
        <v>2.0427075917644762E-2</v>
      </c>
      <c r="AI229" s="3">
        <v>-2.726454452847066E-3</v>
      </c>
      <c r="AJ229" s="3">
        <v>-2.2687458791770025E-2</v>
      </c>
      <c r="AK229" s="3">
        <v>7.2463768115942099E-3</v>
      </c>
      <c r="AL229" s="3">
        <v>5.5348922864675481E-3</v>
      </c>
      <c r="AM229" s="3">
        <v>1.7184973229196416E-3</v>
      </c>
      <c r="AN229" s="3">
        <v>6.0987457037956798E-3</v>
      </c>
    </row>
    <row r="230" spans="1:40" x14ac:dyDescent="0.3">
      <c r="A230" s="101">
        <v>44643</v>
      </c>
      <c r="B230" s="3">
        <v>-1.0004669929940452E-2</v>
      </c>
      <c r="C230" s="3">
        <v>9.6442563223317693E-3</v>
      </c>
      <c r="D230" s="3">
        <v>2.1857874178767299E-2</v>
      </c>
      <c r="E230" s="3">
        <v>2.5067486396194931E-2</v>
      </c>
      <c r="F230" s="3">
        <v>2.5733596948952886E-2</v>
      </c>
      <c r="G230" s="3">
        <v>3.6466001563721706E-2</v>
      </c>
      <c r="H230" s="3">
        <v>1.2493607323175524E-3</v>
      </c>
      <c r="I230" s="3">
        <v>8.1967759168918089E-3</v>
      </c>
      <c r="J230" s="3">
        <v>-8.0395330570203673E-3</v>
      </c>
      <c r="K230" s="3">
        <v>2.3752969121140059E-2</v>
      </c>
      <c r="L230" s="3">
        <v>-4.4176285225633726E-5</v>
      </c>
      <c r="M230" s="3">
        <v>-2.4646556286383913E-2</v>
      </c>
      <c r="N230" s="3">
        <v>1.899439795021857E-2</v>
      </c>
      <c r="O230" s="3">
        <v>1.4784904078763173E-2</v>
      </c>
      <c r="P230" s="3">
        <v>-4.7432809416488531E-2</v>
      </c>
      <c r="Q230" s="3">
        <v>8.6123672317070035E-3</v>
      </c>
      <c r="R230" s="3">
        <v>-1.0978624735722257E-2</v>
      </c>
      <c r="S230" s="3">
        <v>6.0683727953272466E-3</v>
      </c>
      <c r="T230" s="3">
        <v>-1.2191280637810928E-2</v>
      </c>
      <c r="U230" s="3">
        <v>7.2783207154259464E-3</v>
      </c>
      <c r="V230" s="3">
        <v>-1.3175239036792187E-2</v>
      </c>
      <c r="W230" s="3">
        <v>-1.1899897518612998E-2</v>
      </c>
      <c r="X230" s="3">
        <v>4.0299076551579679E-3</v>
      </c>
      <c r="Y230" s="3">
        <v>-1.0206972647540431E-2</v>
      </c>
      <c r="Z230" s="3">
        <v>-5.694760820045437E-3</v>
      </c>
      <c r="AA230" s="3">
        <v>-3.9471666926780502E-2</v>
      </c>
      <c r="AB230" s="3">
        <v>-1.7853393126242019E-2</v>
      </c>
      <c r="AC230" s="3">
        <v>-2.2404451110393644E-2</v>
      </c>
      <c r="AD230" s="3">
        <v>1.6048093698144292E-2</v>
      </c>
      <c r="AE230" s="3">
        <v>-3.4306768476153417E-2</v>
      </c>
      <c r="AF230" s="3">
        <v>-6.6685342155745186E-3</v>
      </c>
      <c r="AG230" s="3">
        <v>2.2988548318433385E-2</v>
      </c>
      <c r="AH230" s="3">
        <v>-1.7288401249582603E-2</v>
      </c>
      <c r="AI230" s="3">
        <v>-1.3431615003285066E-2</v>
      </c>
      <c r="AJ230" s="3">
        <v>-9.5851780015028219E-3</v>
      </c>
      <c r="AK230" s="3">
        <v>-1.7985611510791304E-2</v>
      </c>
      <c r="AL230" s="3">
        <v>-5.482417035048719E-3</v>
      </c>
      <c r="AM230" s="3">
        <v>-2.4759287911411101E-2</v>
      </c>
      <c r="AN230" s="3">
        <v>-1.9705917647058868E-2</v>
      </c>
    </row>
    <row r="231" spans="1:40" x14ac:dyDescent="0.3">
      <c r="A231" s="101">
        <v>44644</v>
      </c>
      <c r="B231" s="3">
        <v>-9.165639887826137E-3</v>
      </c>
      <c r="C231" s="3">
        <v>-2.7807301468747523E-2</v>
      </c>
      <c r="D231" s="3">
        <v>1.6042812236120415E-2</v>
      </c>
      <c r="E231" s="3">
        <v>3.1052492718603446E-3</v>
      </c>
      <c r="F231" s="3">
        <v>3.521261292456535E-3</v>
      </c>
      <c r="G231" s="3">
        <v>5.0964013747756297E-2</v>
      </c>
      <c r="H231" s="3">
        <v>1.0215520048816567E-3</v>
      </c>
      <c r="I231" s="3">
        <v>-2.1681026381100746E-3</v>
      </c>
      <c r="J231" s="3">
        <v>-1.1471365739380035E-2</v>
      </c>
      <c r="K231" s="3">
        <v>-2.3201856148491388E-3</v>
      </c>
      <c r="L231" s="3">
        <v>2.5067486396194931E-2</v>
      </c>
      <c r="M231" s="3">
        <v>-0.19262072707542052</v>
      </c>
      <c r="N231" s="3">
        <v>1.0142638408912696E-2</v>
      </c>
      <c r="O231" s="3">
        <v>-4.5356820248908638E-3</v>
      </c>
      <c r="P231" s="3">
        <v>-1.3347073921971203E-2</v>
      </c>
      <c r="Q231" s="3">
        <v>8.4440293009020784E-2</v>
      </c>
      <c r="R231" s="3">
        <v>-9.6732881301692161E-3</v>
      </c>
      <c r="S231" s="3">
        <v>-6.3492598264090405E-3</v>
      </c>
      <c r="T231" s="3">
        <v>1.8987074526879825E-3</v>
      </c>
      <c r="U231" s="3">
        <v>-1.3356599234156195E-2</v>
      </c>
      <c r="V231" s="3">
        <v>3.4712906999092429E-2</v>
      </c>
      <c r="W231" s="3">
        <v>2.117946211853378E-2</v>
      </c>
      <c r="X231" s="3">
        <v>3.2110062152807851E-2</v>
      </c>
      <c r="Y231" s="3">
        <v>-3.2505017247856332E-3</v>
      </c>
      <c r="Z231" s="3">
        <v>5.7273768613973573E-3</v>
      </c>
      <c r="AA231" s="3">
        <v>9.0409300094486944E-3</v>
      </c>
      <c r="AB231" s="3">
        <v>1.8707914875017318E-2</v>
      </c>
      <c r="AC231" s="3">
        <v>1.6511458570833467E-2</v>
      </c>
      <c r="AD231" s="3">
        <v>6.5810831650995822E-3</v>
      </c>
      <c r="AE231" s="3">
        <v>3.7313860168538271E-2</v>
      </c>
      <c r="AF231" s="3">
        <v>-2.4117194124699141E-2</v>
      </c>
      <c r="AG231" s="3">
        <v>3.7453181961998195E-3</v>
      </c>
      <c r="AH231" s="3">
        <v>2.5925905074497334E-2</v>
      </c>
      <c r="AI231" s="3">
        <v>3.9156305790418872E-3</v>
      </c>
      <c r="AJ231" s="3">
        <v>1.0660924552577437E-2</v>
      </c>
      <c r="AK231" s="3">
        <v>7.3260073260073329E-3</v>
      </c>
      <c r="AL231" s="3">
        <v>1.8546797605509868E-2</v>
      </c>
      <c r="AM231" s="3">
        <v>1.7036314690703394E-2</v>
      </c>
      <c r="AN231" s="3">
        <v>1.3828407338556573E-2</v>
      </c>
    </row>
    <row r="232" spans="1:40" x14ac:dyDescent="0.3">
      <c r="A232" s="101">
        <v>44645</v>
      </c>
      <c r="B232" s="3">
        <v>2.1347666533527896E-3</v>
      </c>
      <c r="C232" s="3">
        <v>-4.5851311044787634E-3</v>
      </c>
      <c r="D232" s="3">
        <v>-2.3684124569049163E-2</v>
      </c>
      <c r="E232" s="3">
        <v>-2.6657175142050828E-3</v>
      </c>
      <c r="F232" s="3">
        <v>-2.5000133441583947E-2</v>
      </c>
      <c r="G232" s="3">
        <v>-2.6815955560698965E-2</v>
      </c>
      <c r="H232" s="3">
        <v>3.082075675231377E-3</v>
      </c>
      <c r="I232" s="3">
        <v>4.34546009907832E-3</v>
      </c>
      <c r="J232" s="3">
        <v>-8.2445171316550946E-3</v>
      </c>
      <c r="K232" s="3">
        <v>0</v>
      </c>
      <c r="L232" s="3">
        <v>3.1052492718603446E-3</v>
      </c>
      <c r="M232" s="3">
        <v>1.5574116743471582</v>
      </c>
      <c r="N232" s="3">
        <v>1.4020777920669202E-2</v>
      </c>
      <c r="O232" s="3">
        <v>1.0217269037408602E-2</v>
      </c>
      <c r="P232" s="3">
        <v>-7.8043188243662812E-3</v>
      </c>
      <c r="Q232" s="3">
        <v>5.2492988245630666E-3</v>
      </c>
      <c r="R232" s="3">
        <v>0</v>
      </c>
      <c r="S232" s="3">
        <v>0</v>
      </c>
      <c r="T232" s="3">
        <v>-6.9488081559021869E-3</v>
      </c>
      <c r="U232" s="3">
        <v>3.7283643712057855E-2</v>
      </c>
      <c r="V232" s="3">
        <v>-9.0322963132304993E-3</v>
      </c>
      <c r="W232" s="3">
        <v>7.5640407412753213E-2</v>
      </c>
      <c r="X232" s="3">
        <v>0</v>
      </c>
      <c r="Y232" s="3">
        <v>3.9134055469191263E-2</v>
      </c>
      <c r="Z232" s="3">
        <v>2.6195899772209617E-2</v>
      </c>
      <c r="AA232" s="3">
        <v>1.2587047097866177E-3</v>
      </c>
      <c r="AB232" s="3">
        <v>-2.5277911605068259E-3</v>
      </c>
      <c r="AC232" s="3">
        <v>-5.327834327545679E-3</v>
      </c>
      <c r="AD232" s="3">
        <v>2.6153448108190485E-3</v>
      </c>
      <c r="AE232" s="3">
        <v>-3.1185738812818838E-2</v>
      </c>
      <c r="AF232" s="3">
        <v>2.5476475489622486E-3</v>
      </c>
      <c r="AG232" s="3">
        <v>-8.2919150791078648E-3</v>
      </c>
      <c r="AH232" s="3">
        <v>0</v>
      </c>
      <c r="AI232" s="3">
        <v>1.5002232841077672E-3</v>
      </c>
      <c r="AJ232" s="3">
        <v>4.7881602166988339E-3</v>
      </c>
      <c r="AK232" s="3">
        <v>0</v>
      </c>
      <c r="AL232" s="3">
        <v>4.7895639755128594E-4</v>
      </c>
      <c r="AM232" s="3">
        <v>-4.8796350123982797E-3</v>
      </c>
      <c r="AN232" s="3">
        <v>6.0223433648982075E-3</v>
      </c>
    </row>
    <row r="233" spans="1:40" x14ac:dyDescent="0.3">
      <c r="A233" s="101">
        <v>44648</v>
      </c>
      <c r="B233" s="3">
        <v>-6.3904856118241517E-3</v>
      </c>
      <c r="C233" s="3">
        <v>-1.0528602763764125E-2</v>
      </c>
      <c r="D233" s="3">
        <v>2.6953777913281594E-3</v>
      </c>
      <c r="E233" s="3">
        <v>-9.1825663435926488E-3</v>
      </c>
      <c r="F233" s="3">
        <v>-4.4981564005408807E-4</v>
      </c>
      <c r="G233" s="3">
        <v>-1.5783591403269796E-2</v>
      </c>
      <c r="H233" s="3">
        <v>6.3876057915202922E-3</v>
      </c>
      <c r="I233" s="3">
        <v>2.433758720609051E-2</v>
      </c>
      <c r="J233" s="3">
        <v>5.3715050530728555E-3</v>
      </c>
      <c r="K233" s="3">
        <v>5.8139534883721762E-3</v>
      </c>
      <c r="L233" s="3">
        <v>-2.6657175142050828E-3</v>
      </c>
      <c r="M233" s="3">
        <v>-0.11258352729183872</v>
      </c>
      <c r="N233" s="3">
        <v>6.6903670007536506E-3</v>
      </c>
      <c r="O233" s="3">
        <v>-8.8832869683445437E-4</v>
      </c>
      <c r="P233" s="3">
        <v>1.4158363922391167E-2</v>
      </c>
      <c r="Q233" s="3">
        <v>-7.8328322620811342E-3</v>
      </c>
      <c r="R233" s="3">
        <v>8.8060183612419175E-4</v>
      </c>
      <c r="S233" s="3">
        <v>0</v>
      </c>
      <c r="T233" s="3">
        <v>7.6336088772027437E-3</v>
      </c>
      <c r="U233" s="3">
        <v>-1.8399656755000757E-2</v>
      </c>
      <c r="V233" s="3">
        <v>1.4322916386457059E-2</v>
      </c>
      <c r="W233" s="3">
        <v>-2.2306221668331568E-2</v>
      </c>
      <c r="X233" s="3">
        <v>0</v>
      </c>
      <c r="Y233" s="3">
        <v>-2.2671949815182717E-2</v>
      </c>
      <c r="Z233" s="3">
        <v>-7.7691453940066909E-3</v>
      </c>
      <c r="AA233" s="3">
        <v>-3.3996583476233244E-2</v>
      </c>
      <c r="AB233" s="3">
        <v>5.0687340904500781E-3</v>
      </c>
      <c r="AC233" s="3">
        <v>-1.2868257528505615E-2</v>
      </c>
      <c r="AD233" s="3">
        <v>3.2602289045322025E-4</v>
      </c>
      <c r="AE233" s="3">
        <v>-4.0821192629961582E-2</v>
      </c>
      <c r="AF233" s="3">
        <v>-2.4142226675572441E-2</v>
      </c>
      <c r="AG233" s="3">
        <v>-4.1806020066896164E-4</v>
      </c>
      <c r="AH233" s="3">
        <v>-2.2563149407708028E-2</v>
      </c>
      <c r="AI233" s="3">
        <v>2.9955427187489071E-4</v>
      </c>
      <c r="AJ233" s="3">
        <v>-1.2955324519614087E-2</v>
      </c>
      <c r="AK233" s="3">
        <v>7.2727272727272788E-3</v>
      </c>
      <c r="AL233" s="3">
        <v>2.0193840958149826E-3</v>
      </c>
      <c r="AM233" s="3">
        <v>1.445461323599649E-2</v>
      </c>
      <c r="AN233" s="3">
        <v>-8.0690113665780883E-3</v>
      </c>
    </row>
    <row r="234" spans="1:40" x14ac:dyDescent="0.3">
      <c r="A234" s="101">
        <v>44649</v>
      </c>
      <c r="B234" s="3">
        <v>-3.5731338391031035E-2</v>
      </c>
      <c r="C234" s="3">
        <v>-3.1035246485583865E-3</v>
      </c>
      <c r="D234" s="3">
        <v>-1.6129062638325069E-2</v>
      </c>
      <c r="E234" s="3">
        <v>-3.3503516587006631E-3</v>
      </c>
      <c r="F234" s="3">
        <v>-9.0008902414318477E-3</v>
      </c>
      <c r="G234" s="3">
        <v>1.0191616416996715E-2</v>
      </c>
      <c r="H234" s="3">
        <v>-1.6893840193771012E-3</v>
      </c>
      <c r="I234" s="3">
        <v>4.2238602098024604E-3</v>
      </c>
      <c r="J234" s="3">
        <v>1.7810363191219434E-3</v>
      </c>
      <c r="K234" s="3">
        <v>0</v>
      </c>
      <c r="L234" s="3">
        <v>-9.1825663435926488E-3</v>
      </c>
      <c r="M234" s="3">
        <v>1.6259148018105674</v>
      </c>
      <c r="N234" s="3">
        <v>-1.5950081510409751E-3</v>
      </c>
      <c r="O234" s="3">
        <v>8.9604308821284329E-3</v>
      </c>
      <c r="P234" s="3">
        <v>-1.706308169596682E-2</v>
      </c>
      <c r="Q234" s="3">
        <v>0</v>
      </c>
      <c r="R234" s="3">
        <v>1.1599115814828606E-2</v>
      </c>
      <c r="S234" s="3">
        <v>-6.3898305206311016E-3</v>
      </c>
      <c r="T234" s="3">
        <v>-1.0732342032325462E-2</v>
      </c>
      <c r="U234" s="3">
        <v>3.988658576641195E-2</v>
      </c>
      <c r="V234" s="3">
        <v>-1.4120667250112712E-2</v>
      </c>
      <c r="W234" s="3">
        <v>-4.6017114160634552E-2</v>
      </c>
      <c r="X234" s="3">
        <v>-2.0833333333333332E-2</v>
      </c>
      <c r="Y234" s="3">
        <v>-2.0484719867254384E-3</v>
      </c>
      <c r="Z234" s="3">
        <v>-4.4742729306486741E-3</v>
      </c>
      <c r="AA234" s="3">
        <v>6.1010157310478217E-3</v>
      </c>
      <c r="AB234" s="3">
        <v>-1.2830131275183478E-2</v>
      </c>
      <c r="AC234" s="3">
        <v>1.3565511301135728E-3</v>
      </c>
      <c r="AD234" s="3">
        <v>-2.5749721954386691E-2</v>
      </c>
      <c r="AE234" s="3">
        <v>-1.7444242294518728E-2</v>
      </c>
      <c r="AF234" s="3">
        <v>-1.2500123412602825E-2</v>
      </c>
      <c r="AG234" s="3">
        <v>-1.7147636971978259E-2</v>
      </c>
      <c r="AH234" s="3">
        <v>-1.6620545271111255E-2</v>
      </c>
      <c r="AI234" s="3">
        <v>-2.419881233651177E-2</v>
      </c>
      <c r="AJ234" s="3">
        <v>-4.1185673557332887E-2</v>
      </c>
      <c r="AK234" s="3">
        <v>-3.9711191335740026E-2</v>
      </c>
      <c r="AL234" s="3">
        <v>-3.8090686985127213E-3</v>
      </c>
      <c r="AM234" s="3">
        <v>-8.7836284943957135E-3</v>
      </c>
      <c r="AN234" s="3">
        <v>-1.1067565436670625E-2</v>
      </c>
    </row>
    <row r="235" spans="1:40" x14ac:dyDescent="0.3">
      <c r="A235" s="101">
        <v>44650</v>
      </c>
      <c r="B235" s="3">
        <v>-8.6463057657559395E-3</v>
      </c>
      <c r="C235" s="3">
        <v>1.7344873974986047E-2</v>
      </c>
      <c r="D235" s="3">
        <v>-2.185787417876742E-2</v>
      </c>
      <c r="E235" s="3">
        <v>-1.7462706722282232E-2</v>
      </c>
      <c r="F235" s="3">
        <v>1.4078157716881022E-2</v>
      </c>
      <c r="G235" s="3">
        <v>-2.0236811363555728E-2</v>
      </c>
      <c r="H235" s="3">
        <v>-3.5068165445624319E-3</v>
      </c>
      <c r="I235" s="3">
        <v>3.47002102804745E-2</v>
      </c>
      <c r="J235" s="3">
        <v>-9.1428144411918495E-3</v>
      </c>
      <c r="K235" s="3">
        <v>-1.1560693641618251E-3</v>
      </c>
      <c r="L235" s="3">
        <v>-3.3503516587006631E-3</v>
      </c>
      <c r="M235" s="3">
        <v>-0.79145858169281824</v>
      </c>
      <c r="N235" s="3">
        <v>7.455417844472202E-3</v>
      </c>
      <c r="O235" s="3">
        <v>-2.4879686929348232E-2</v>
      </c>
      <c r="P235" s="3">
        <v>-4.7343503419252945E-3</v>
      </c>
      <c r="Q235" s="3">
        <v>5.2631135596465945E-3</v>
      </c>
      <c r="R235" s="3">
        <v>3.194687827904677E-2</v>
      </c>
      <c r="S235" s="3">
        <v>2.8940841862275866E-3</v>
      </c>
      <c r="T235" s="3">
        <v>1.6911288445217412E-2</v>
      </c>
      <c r="U235" s="3">
        <v>1.2995224829015358E-2</v>
      </c>
      <c r="V235" s="3">
        <v>-1.3020735191105477E-3</v>
      </c>
      <c r="W235" s="3">
        <v>2.2294307315459849E-2</v>
      </c>
      <c r="X235" s="3">
        <v>-2.1276595744680851E-2</v>
      </c>
      <c r="Y235" s="3">
        <v>6.6571428571422331E-4</v>
      </c>
      <c r="Z235" s="3">
        <v>-1.0112359550561782E-2</v>
      </c>
      <c r="AA235" s="3">
        <v>3.4951792583371048E-2</v>
      </c>
      <c r="AB235" s="3">
        <v>2.930006346334512E-3</v>
      </c>
      <c r="AC235" s="3">
        <v>-3.8988700591217184E-3</v>
      </c>
      <c r="AD235" s="3">
        <v>5.3529790145818755E-3</v>
      </c>
      <c r="AE235" s="3">
        <v>4.9879920250022755E-3</v>
      </c>
      <c r="AF235" s="3">
        <v>7.7267934394076948E-2</v>
      </c>
      <c r="AG235" s="3">
        <v>-2.5531489361702658E-3</v>
      </c>
      <c r="AH235" s="3">
        <v>-1.5962486880779846E-2</v>
      </c>
      <c r="AI235" s="3">
        <v>8.9006764732141534E-3</v>
      </c>
      <c r="AJ235" s="3">
        <v>2.1949413179676958E-2</v>
      </c>
      <c r="AK235" s="3">
        <v>1.5037593984962419E-2</v>
      </c>
      <c r="AL235" s="3">
        <v>-1.4828895292738864E-4</v>
      </c>
      <c r="AM235" s="3">
        <v>-7.4003334392300696E-2</v>
      </c>
      <c r="AN235" s="3">
        <v>8.1956705096246484E-3</v>
      </c>
    </row>
    <row r="236" spans="1:40" x14ac:dyDescent="0.3">
      <c r="A236" s="101">
        <v>44651</v>
      </c>
      <c r="B236" s="3">
        <v>-4.0119642199906505E-2</v>
      </c>
      <c r="C236" s="3">
        <v>-4.1529836065573823E-3</v>
      </c>
      <c r="D236" s="3">
        <v>5.3072678026648043E-2</v>
      </c>
      <c r="E236" s="3">
        <v>2.1994201145097508E-2</v>
      </c>
      <c r="F236" s="3">
        <v>-2.2391375988308957E-2</v>
      </c>
      <c r="G236" s="3">
        <v>-1.4385656655951685E-2</v>
      </c>
      <c r="H236" s="3">
        <v>1.4322152960595071E-3</v>
      </c>
      <c r="I236" s="3">
        <v>4.3699260897225381E-2</v>
      </c>
      <c r="J236" s="3">
        <v>1.4353254980190803E-2</v>
      </c>
      <c r="K236" s="3">
        <v>1.1574074074073826E-3</v>
      </c>
      <c r="L236" s="3">
        <v>-1.7462706722282232E-2</v>
      </c>
      <c r="M236" s="3">
        <v>-0.3447663190421012</v>
      </c>
      <c r="N236" s="3">
        <v>-1.762025940320533E-3</v>
      </c>
      <c r="O236" s="3">
        <v>-6.2562414833308136E-4</v>
      </c>
      <c r="P236" s="3">
        <v>-3.3826585623678809E-2</v>
      </c>
      <c r="Q236" s="3">
        <v>5.2356671295123187E-3</v>
      </c>
      <c r="R236" s="3">
        <v>1.0727924647795189E-2</v>
      </c>
      <c r="S236" s="3">
        <v>-1.2504084296254648E-2</v>
      </c>
      <c r="T236" s="3">
        <v>3.1377452180547907E-3</v>
      </c>
      <c r="U236" s="3">
        <v>8.6902177959078796E-3</v>
      </c>
      <c r="V236" s="3">
        <v>1.9556782452598946E-2</v>
      </c>
      <c r="W236" s="3">
        <v>-5.5510673129996841E-3</v>
      </c>
      <c r="X236" s="3">
        <v>2.6087014492753642E-2</v>
      </c>
      <c r="Y236" s="3">
        <v>1.2252631043206598E-2</v>
      </c>
      <c r="Z236" s="3">
        <v>-1.1350737797956827E-2</v>
      </c>
      <c r="AA236" s="3">
        <v>-3.283069758835222E-2</v>
      </c>
      <c r="AB236" s="3">
        <v>-1.1685550628387767E-2</v>
      </c>
      <c r="AC236" s="3">
        <v>-1.6419583983747738E-2</v>
      </c>
      <c r="AD236" s="3">
        <v>6.3227603676523627E-3</v>
      </c>
      <c r="AE236" s="3">
        <v>-1.839492202337115E-2</v>
      </c>
      <c r="AF236" s="3">
        <v>-2.9375138440747195E-3</v>
      </c>
      <c r="AG236" s="3">
        <v>-9.8123715950352956E-3</v>
      </c>
      <c r="AH236" s="3">
        <v>2.6240630832612955E-2</v>
      </c>
      <c r="AI236" s="3">
        <v>-1.4054507894163393E-2</v>
      </c>
      <c r="AJ236" s="3">
        <v>-5.5427716141213815E-3</v>
      </c>
      <c r="AK236" s="3">
        <v>3.7037037037036245E-3</v>
      </c>
      <c r="AL236" s="3">
        <v>-1.1062648275516286E-2</v>
      </c>
      <c r="AM236" s="3">
        <v>-2.3579288939826E-4</v>
      </c>
      <c r="AN236" s="3">
        <v>-1.5758395437961623E-2</v>
      </c>
    </row>
    <row r="237" spans="1:40" x14ac:dyDescent="0.3">
      <c r="A237" s="101">
        <v>44652</v>
      </c>
      <c r="B237" s="3">
        <v>3.9979268366048669E-2</v>
      </c>
      <c r="C237" s="3">
        <v>-2.195346747248769E-4</v>
      </c>
      <c r="D237" s="3">
        <v>3.1830296477750243E-2</v>
      </c>
      <c r="E237" s="3">
        <v>6.4779550335355837E-3</v>
      </c>
      <c r="F237" s="3">
        <v>-1.7865328847730535E-2</v>
      </c>
      <c r="G237" s="3">
        <v>-3.2079651966078815E-2</v>
      </c>
      <c r="H237" s="3">
        <v>-7.3006619630063899E-3</v>
      </c>
      <c r="I237" s="3">
        <v>6.6212148689744427E-2</v>
      </c>
      <c r="J237" s="3">
        <v>-1.4529254302453455E-2</v>
      </c>
      <c r="K237" s="3">
        <v>-1.1560693641618251E-3</v>
      </c>
      <c r="L237" s="3">
        <v>2.1994201145097508E-2</v>
      </c>
      <c r="M237" s="3">
        <v>0.54833765621315722</v>
      </c>
      <c r="N237" s="3">
        <v>-2.4710238757223515E-3</v>
      </c>
      <c r="O237" s="3">
        <v>-2.2678271351971993E-2</v>
      </c>
      <c r="P237" s="3">
        <v>3.99342975965922E-2</v>
      </c>
      <c r="Q237" s="3">
        <v>9.5486392679420776E-3</v>
      </c>
      <c r="R237" s="3">
        <v>3.7149738303373257E-3</v>
      </c>
      <c r="S237" s="3">
        <v>-7.4188654903654602E-3</v>
      </c>
      <c r="T237" s="3">
        <v>2.8151469902731236E-3</v>
      </c>
      <c r="U237" s="3">
        <v>-7.1794363736703047E-3</v>
      </c>
      <c r="V237" s="3">
        <v>-1.2787626421659976E-3</v>
      </c>
      <c r="W237" s="3">
        <v>-3.2097362365072754E-2</v>
      </c>
      <c r="X237" s="3">
        <v>1.1016920281529815E-2</v>
      </c>
      <c r="Y237" s="3">
        <v>-2.6947080436553073E-2</v>
      </c>
      <c r="Z237" s="3">
        <v>-1.8369690011481071E-2</v>
      </c>
      <c r="AA237" s="3">
        <v>1.349190899763518E-2</v>
      </c>
      <c r="AB237" s="3">
        <v>1.8038781336715843E-2</v>
      </c>
      <c r="AC237" s="3">
        <v>1.5547066541945586E-2</v>
      </c>
      <c r="AD237" s="3">
        <v>6.2831719791933607E-3</v>
      </c>
      <c r="AE237" s="3">
        <v>1.9453799459828624E-2</v>
      </c>
      <c r="AF237" s="3">
        <v>2.4060967374948714E-2</v>
      </c>
      <c r="AG237" s="3">
        <v>3.4467946336404487E-2</v>
      </c>
      <c r="AH237" s="3">
        <v>2.2779976076521199E-2</v>
      </c>
      <c r="AI237" s="3">
        <v>-4.2580100703882729E-3</v>
      </c>
      <c r="AJ237" s="3">
        <v>7.8186137468950565E-3</v>
      </c>
      <c r="AK237" s="3">
        <v>-3.6900369003689251E-3</v>
      </c>
      <c r="AL237" s="3">
        <v>2.0891344636800414E-2</v>
      </c>
      <c r="AM237" s="3">
        <v>-6.348541621817941E-3</v>
      </c>
      <c r="AN237" s="3">
        <v>9.6221867278046477E-3</v>
      </c>
    </row>
    <row r="238" spans="1:40" x14ac:dyDescent="0.3">
      <c r="A238" s="101">
        <v>44655</v>
      </c>
      <c r="B238" s="3">
        <v>2.2466740602464217E-3</v>
      </c>
      <c r="C238" s="3">
        <v>-2.8979122480332058E-2</v>
      </c>
      <c r="D238" s="3">
        <v>-1.542444896875275E-2</v>
      </c>
      <c r="E238" s="3">
        <v>-5.4427815723859397E-3</v>
      </c>
      <c r="F238" s="3">
        <v>1.6790951841168959E-2</v>
      </c>
      <c r="G238" s="3">
        <v>5.6031726984126957E-2</v>
      </c>
      <c r="H238" s="3">
        <v>9.1174775664773361E-3</v>
      </c>
      <c r="I238" s="3">
        <v>-1.6894885147900961E-2</v>
      </c>
      <c r="J238" s="3">
        <v>6.6667013424905469E-3</v>
      </c>
      <c r="K238" s="3">
        <v>-2.3148148148149708E-3</v>
      </c>
      <c r="L238" s="3">
        <v>6.4779550335355837E-3</v>
      </c>
      <c r="M238" s="3">
        <v>-0.29856087717962387</v>
      </c>
      <c r="N238" s="3">
        <v>1.37131374633954E-2</v>
      </c>
      <c r="O238" s="3">
        <v>-8.6840629687821892E-3</v>
      </c>
      <c r="P238" s="3">
        <v>4.7343503419252945E-3</v>
      </c>
      <c r="Q238" s="3">
        <v>-2.5795461126685727E-2</v>
      </c>
      <c r="R238" s="3">
        <v>1.2160999736285061E-2</v>
      </c>
      <c r="S238" s="3">
        <v>0</v>
      </c>
      <c r="T238" s="3">
        <v>-1.4036189420662572E-2</v>
      </c>
      <c r="U238" s="3">
        <v>1.2396644657364115E-2</v>
      </c>
      <c r="V238" s="3">
        <v>2.560821115059625E-2</v>
      </c>
      <c r="W238" s="3">
        <v>-4.2636362230878161E-2</v>
      </c>
      <c r="X238" s="3">
        <v>-2.2073232129834159E-2</v>
      </c>
      <c r="Y238" s="3">
        <v>-6.4167509531294752E-3</v>
      </c>
      <c r="Z238" s="3">
        <v>-3.0409356725146379E-2</v>
      </c>
      <c r="AA238" s="3">
        <v>1.2064717691874173E-2</v>
      </c>
      <c r="AB238" s="3">
        <v>2.9777554008159181E-3</v>
      </c>
      <c r="AC238" s="3">
        <v>6.3427887234286566E-3</v>
      </c>
      <c r="AD238" s="3">
        <v>2.9575532442904329E-3</v>
      </c>
      <c r="AE238" s="3">
        <v>3.2953204709743014E-2</v>
      </c>
      <c r="AF238" s="3">
        <v>2.6371684478504274E-3</v>
      </c>
      <c r="AG238" s="3">
        <v>4.9146230737192716E-2</v>
      </c>
      <c r="AH238" s="3">
        <v>-1.1818215569580428E-2</v>
      </c>
      <c r="AI238" s="3">
        <v>-7.9945032631055131E-3</v>
      </c>
      <c r="AJ238" s="3">
        <v>1.0830484275083473E-2</v>
      </c>
      <c r="AK238" s="3">
        <v>3.7037037037036245E-3</v>
      </c>
      <c r="AL238" s="3">
        <v>4.9410357615948409E-3</v>
      </c>
      <c r="AM238" s="3">
        <v>9.3957078681604078E-3</v>
      </c>
      <c r="AN238" s="3">
        <v>2.0389782797713796E-2</v>
      </c>
    </row>
    <row r="239" spans="1:40" x14ac:dyDescent="0.3">
      <c r="A239" s="101">
        <v>44656</v>
      </c>
      <c r="B239" s="3">
        <v>-3.9850191459726665E-3</v>
      </c>
      <c r="C239" s="3">
        <v>-1.5374203029617844E-2</v>
      </c>
      <c r="D239" s="3">
        <v>3.3942846031572597E-2</v>
      </c>
      <c r="E239" s="3">
        <v>9.9461413472894198E-3</v>
      </c>
      <c r="F239" s="3">
        <v>-2.7064127937369963E-2</v>
      </c>
      <c r="G239" s="3">
        <v>3.7276399289518682E-2</v>
      </c>
      <c r="H239" s="3">
        <v>7.1043489493039273E-4</v>
      </c>
      <c r="I239" s="3">
        <v>-2.1830035453453724E-2</v>
      </c>
      <c r="J239" s="3">
        <v>4.2027021394849063E-3</v>
      </c>
      <c r="K239" s="3">
        <v>1.1600928074247754E-3</v>
      </c>
      <c r="L239" s="3">
        <v>-5.4427815723859397E-3</v>
      </c>
      <c r="M239" s="3">
        <v>0.19040382110290924</v>
      </c>
      <c r="N239" s="3">
        <v>1.396432686121298E-3</v>
      </c>
      <c r="O239" s="3">
        <v>1.0770697562552086E-2</v>
      </c>
      <c r="P239" s="3">
        <v>3.0890104712041743E-2</v>
      </c>
      <c r="Q239" s="3">
        <v>-4.3247982363484649E-2</v>
      </c>
      <c r="R239" s="3">
        <v>7.3133959595216248E-3</v>
      </c>
      <c r="S239" s="3">
        <v>0</v>
      </c>
      <c r="T239" s="3">
        <v>2.6573846758958873E-2</v>
      </c>
      <c r="U239" s="3">
        <v>8.9795660100691049E-3</v>
      </c>
      <c r="V239" s="3">
        <v>-2.4969630132999085E-3</v>
      </c>
      <c r="W239" s="3">
        <v>1.0326829730577329E-2</v>
      </c>
      <c r="X239" s="3">
        <v>-1.1428857142856178E-3</v>
      </c>
      <c r="Y239" s="3">
        <v>-1.1500107375932326E-2</v>
      </c>
      <c r="Z239" s="3">
        <v>-2.4125452352231091E-3</v>
      </c>
      <c r="AA239" s="3">
        <v>-4.5326480751358644E-2</v>
      </c>
      <c r="AB239" s="3">
        <v>-2.4496260024597654E-3</v>
      </c>
      <c r="AC239" s="3">
        <v>1.7489373820602605E-3</v>
      </c>
      <c r="AD239" s="3">
        <v>-1.1140213643184609E-2</v>
      </c>
      <c r="AE239" s="3">
        <v>-2.1647752195321134E-2</v>
      </c>
      <c r="AF239" s="3">
        <v>2.36729619194056E-2</v>
      </c>
      <c r="AG239" s="3">
        <v>-4.4462126063432812E-2</v>
      </c>
      <c r="AH239" s="3">
        <v>1.8859300134200549E-2</v>
      </c>
      <c r="AI239" s="3">
        <v>-4.3106799960578894E-3</v>
      </c>
      <c r="AJ239" s="3">
        <v>3.875206819692415E-3</v>
      </c>
      <c r="AK239" s="3">
        <v>-1.1070110701106939E-2</v>
      </c>
      <c r="AL239" s="3">
        <v>-8.4323561452049247E-3</v>
      </c>
      <c r="AM239" s="3">
        <v>-9.308250267879686E-3</v>
      </c>
      <c r="AN239" s="3">
        <v>2.4729187880244701E-3</v>
      </c>
    </row>
    <row r="240" spans="1:40" x14ac:dyDescent="0.3">
      <c r="A240" s="101">
        <v>44657</v>
      </c>
      <c r="B240" s="3">
        <v>-1.1002855838024548E-2</v>
      </c>
      <c r="C240" s="3">
        <v>-1.1480826899674483E-3</v>
      </c>
      <c r="D240" s="3">
        <v>-3.535376642495551E-2</v>
      </c>
      <c r="E240" s="3">
        <v>-1.0665306576546256E-2</v>
      </c>
      <c r="F240" s="3">
        <v>1.4143422829024054E-3</v>
      </c>
      <c r="G240" s="3">
        <v>-8.0568001642706874E-2</v>
      </c>
      <c r="H240" s="3">
        <v>3.4307647888041568E-3</v>
      </c>
      <c r="I240" s="3">
        <v>-8.547085049095373E-3</v>
      </c>
      <c r="J240" s="3">
        <v>3.8043740562315368E-4</v>
      </c>
      <c r="K240" s="3">
        <v>-2.3174971031287772E-3</v>
      </c>
      <c r="L240" s="3">
        <v>9.9461413472894198E-3</v>
      </c>
      <c r="M240" s="3">
        <v>-0.23809958052161226</v>
      </c>
      <c r="N240" s="3">
        <v>-2.0917280717321026E-3</v>
      </c>
      <c r="O240" s="3">
        <v>3.054398397444656E-3</v>
      </c>
      <c r="P240" s="3">
        <v>-1.1173285364485121E-2</v>
      </c>
      <c r="Q240" s="3">
        <v>-1.2915135822605839E-2</v>
      </c>
      <c r="R240" s="3">
        <v>7.1862889535423934E-3</v>
      </c>
      <c r="S240" s="3">
        <v>1.5645279345331362E-2</v>
      </c>
      <c r="T240" s="3">
        <v>-1.5407844715819542E-3</v>
      </c>
      <c r="U240" s="3">
        <v>-5.6634477471029518E-3</v>
      </c>
      <c r="V240" s="3">
        <v>-1.2515549995386708E-3</v>
      </c>
      <c r="W240" s="3">
        <v>-6.388264857355698E-3</v>
      </c>
      <c r="X240" s="3">
        <v>-1.1441933965731443E-3</v>
      </c>
      <c r="Y240" s="3">
        <v>-2.1261997212963533E-2</v>
      </c>
      <c r="Z240" s="3">
        <v>-8.464328899637278E-3</v>
      </c>
      <c r="AA240" s="3">
        <v>-1.4672092043478382E-2</v>
      </c>
      <c r="AB240" s="3">
        <v>-6.0272023756252971E-3</v>
      </c>
      <c r="AC240" s="3">
        <v>1.1628286453213517E-2</v>
      </c>
      <c r="AD240" s="3">
        <v>7.2895424635005934E-3</v>
      </c>
      <c r="AE240" s="3">
        <v>-8.068775955670791E-3</v>
      </c>
      <c r="AF240" s="3">
        <v>-3.2235582702896309E-2</v>
      </c>
      <c r="AG240" s="3">
        <v>-9.5554632322393199E-3</v>
      </c>
      <c r="AH240" s="3">
        <v>-3.521436383698491E-2</v>
      </c>
      <c r="AI240" s="3">
        <v>-1.1607530789470912E-2</v>
      </c>
      <c r="AJ240" s="3">
        <v>-1.0597100178624568E-2</v>
      </c>
      <c r="AK240" s="3">
        <v>1.1194029850746195E-2</v>
      </c>
      <c r="AL240" s="3">
        <v>3.1550122276688054E-2</v>
      </c>
      <c r="AM240" s="3">
        <v>1.918704426910252E-3</v>
      </c>
      <c r="AN240" s="3">
        <v>1.2017784872803736E-2</v>
      </c>
    </row>
    <row r="241" spans="1:40" x14ac:dyDescent="0.3">
      <c r="A241" s="101">
        <v>44658</v>
      </c>
      <c r="B241" s="3">
        <v>-1.5168957665760235E-3</v>
      </c>
      <c r="C241" s="3">
        <v>-2.0229908045977012E-2</v>
      </c>
      <c r="D241" s="3">
        <v>-3.664920094040304E-2</v>
      </c>
      <c r="E241" s="3">
        <v>1.7604883814489717E-2</v>
      </c>
      <c r="F241" s="3">
        <v>3.5781616135956415E-2</v>
      </c>
      <c r="G241" s="3">
        <v>-8.0377872340425052E-3</v>
      </c>
      <c r="H241" s="3">
        <v>-1.9634061711887914E-3</v>
      </c>
      <c r="I241" s="3">
        <v>-6.2260171702930101E-3</v>
      </c>
      <c r="J241" s="3">
        <v>6.3395679481507235E-4</v>
      </c>
      <c r="K241" s="3">
        <v>-1.161440185830405E-3</v>
      </c>
      <c r="L241" s="3">
        <v>-1.0665306576546256E-2</v>
      </c>
      <c r="M241" s="3">
        <v>6.6187911430281271E-2</v>
      </c>
      <c r="N241" s="3">
        <v>-8.9955567054175543E-3</v>
      </c>
      <c r="O241" s="3">
        <v>9.4192582025293559E-3</v>
      </c>
      <c r="P241" s="3">
        <v>-1.900354488975577E-2</v>
      </c>
      <c r="Q241" s="3">
        <v>2.5233549271629283E-2</v>
      </c>
      <c r="R241" s="3">
        <v>1.0886273722012526E-2</v>
      </c>
      <c r="S241" s="3">
        <v>-1.6038540095340325E-3</v>
      </c>
      <c r="T241" s="3">
        <v>-9.567917091477857E-3</v>
      </c>
      <c r="U241" s="3">
        <v>1.0781142811217545E-2</v>
      </c>
      <c r="V241" s="3">
        <v>-2.5062467179258357E-3</v>
      </c>
      <c r="W241" s="3">
        <v>-1.4144912179752328E-2</v>
      </c>
      <c r="X241" s="3">
        <v>1.9473082444048242E-2</v>
      </c>
      <c r="Y241" s="3">
        <v>-6.6752547527536565E-3</v>
      </c>
      <c r="Z241" s="3">
        <v>-8.536585365853477E-3</v>
      </c>
      <c r="AA241" s="3">
        <v>-2.505755256502161E-2</v>
      </c>
      <c r="AB241" s="3">
        <v>-7.4853081964096487E-4</v>
      </c>
      <c r="AC241" s="3">
        <v>7.2972984572328578E-2</v>
      </c>
      <c r="AD241" s="3">
        <v>-9.8682404428247555E-4</v>
      </c>
      <c r="AE241" s="3">
        <v>-2.9070778472374934E-3</v>
      </c>
      <c r="AF241" s="3">
        <v>1.689632163205201E-3</v>
      </c>
      <c r="AG241" s="3">
        <v>2.0972734899328727E-3</v>
      </c>
      <c r="AH241" s="3">
        <v>1.6378050345369367E-2</v>
      </c>
      <c r="AI241" s="3">
        <v>6.5384517699349646E-3</v>
      </c>
      <c r="AJ241" s="3">
        <v>1.9508776588463832E-2</v>
      </c>
      <c r="AK241" s="3">
        <v>0</v>
      </c>
      <c r="AL241" s="3">
        <v>2.1000794324161871E-2</v>
      </c>
      <c r="AM241" s="3">
        <v>4.8961759730275726E-3</v>
      </c>
      <c r="AN241" s="3">
        <v>3.7039351677790365E-3</v>
      </c>
    </row>
    <row r="242" spans="1:40" x14ac:dyDescent="0.3">
      <c r="A242" s="101">
        <v>44659</v>
      </c>
      <c r="B242" s="3">
        <v>5.3176340469522172E-3</v>
      </c>
      <c r="C242" s="3">
        <v>4.2233670629602774E-2</v>
      </c>
      <c r="D242" s="3">
        <v>0</v>
      </c>
      <c r="E242" s="3">
        <v>-1.6574115132782376E-2</v>
      </c>
      <c r="F242" s="3">
        <v>3.4999950403835113E-2</v>
      </c>
      <c r="G242" s="3">
        <v>-1.2488156498703933E-2</v>
      </c>
      <c r="H242" s="3">
        <v>-2.2386161282112539E-4</v>
      </c>
      <c r="I242" s="3">
        <v>2.6506004585483165E-2</v>
      </c>
      <c r="J242" s="3">
        <v>1.1909294760296878E-2</v>
      </c>
      <c r="K242" s="3">
        <v>3.488372093023388E-3</v>
      </c>
      <c r="L242" s="3">
        <v>1.7604883814489717E-2</v>
      </c>
      <c r="M242" s="3">
        <v>0.75662325999101931</v>
      </c>
      <c r="N242" s="3">
        <v>1.0487304224748027E-2</v>
      </c>
      <c r="O242" s="3">
        <v>1.2839433314202533E-2</v>
      </c>
      <c r="P242" s="3">
        <v>4.2931937172774881E-2</v>
      </c>
      <c r="Q242" s="3">
        <v>2.278957931920543E-2</v>
      </c>
      <c r="R242" s="3">
        <v>0</v>
      </c>
      <c r="S242" s="3">
        <v>0</v>
      </c>
      <c r="T242" s="3">
        <v>-2.7734520798529901E-2</v>
      </c>
      <c r="U242" s="3">
        <v>-1.4892293675674739E-2</v>
      </c>
      <c r="V242" s="3">
        <v>4.8995018819459869E-2</v>
      </c>
      <c r="W242" s="3">
        <v>-2.1304271793444293E-2</v>
      </c>
      <c r="X242" s="3">
        <v>-2.1910057410677357E-2</v>
      </c>
      <c r="Y242" s="3">
        <v>-2.3048827063480406E-2</v>
      </c>
      <c r="Z242" s="3">
        <v>-1.7220172201722086E-2</v>
      </c>
      <c r="AA242" s="3">
        <v>4.79172396356339E-2</v>
      </c>
      <c r="AB242" s="3">
        <v>-1.5133185769470286E-2</v>
      </c>
      <c r="AC242" s="3">
        <v>-1.3444274424318718E-2</v>
      </c>
      <c r="AD242" s="3">
        <v>-1.8109965176242734E-2</v>
      </c>
      <c r="AE242" s="3">
        <v>-3.8491759288194219E-2</v>
      </c>
      <c r="AF242" s="3">
        <v>-1.1566276759078269E-2</v>
      </c>
      <c r="AG242" s="3">
        <v>-6.6973213351745687E-3</v>
      </c>
      <c r="AH242" s="3">
        <v>-3.2688764309785033E-2</v>
      </c>
      <c r="AI242" s="3">
        <v>-2.3776518118779622E-2</v>
      </c>
      <c r="AJ242" s="3">
        <v>-4.802654134081724E-3</v>
      </c>
      <c r="AK242" s="3">
        <v>-3.6900369003689251E-3</v>
      </c>
      <c r="AL242" s="3">
        <v>-8.136187301780725E-3</v>
      </c>
      <c r="AM242" s="3">
        <v>8.7818683693516447E-3</v>
      </c>
      <c r="AN242" s="3">
        <v>-1.1206374151324452E-3</v>
      </c>
    </row>
    <row r="243" spans="1:40" x14ac:dyDescent="0.3">
      <c r="A243" s="101">
        <v>44662</v>
      </c>
      <c r="B243" s="3">
        <v>-1.0075474123559011E-3</v>
      </c>
      <c r="C243" s="3">
        <v>-6.3034446782279582E-3</v>
      </c>
      <c r="D243" s="3">
        <v>-2.7173513902557698E-3</v>
      </c>
      <c r="E243" s="3">
        <v>-8.6872046804478925E-4</v>
      </c>
      <c r="F243" s="3">
        <v>7.0268853270857422E-3</v>
      </c>
      <c r="G243" s="3">
        <v>4.1896001740373931E-2</v>
      </c>
      <c r="H243" s="3">
        <v>2.7208668776865638E-3</v>
      </c>
      <c r="I243" s="3">
        <v>3.2394401558812264E-2</v>
      </c>
      <c r="J243" s="3">
        <v>-2.128518065444084E-3</v>
      </c>
      <c r="K243" s="3">
        <v>0</v>
      </c>
      <c r="L243" s="3">
        <v>-1.6574115132782376E-2</v>
      </c>
      <c r="M243" s="3">
        <v>-0.14691973415132925</v>
      </c>
      <c r="N243" s="3">
        <v>1.8227762804262738E-2</v>
      </c>
      <c r="O243" s="3">
        <v>4.6410380650873497E-3</v>
      </c>
      <c r="P243" s="3">
        <v>-1.004016064257185E-3</v>
      </c>
      <c r="Q243" s="3">
        <v>1.6042755529001244E-2</v>
      </c>
      <c r="R243" s="3">
        <v>-3.9292677240957584E-3</v>
      </c>
      <c r="S243" s="3">
        <v>-9.6775412476469513E-4</v>
      </c>
      <c r="T243" s="3">
        <v>3.2047054749736E-4</v>
      </c>
      <c r="U243" s="3">
        <v>-1.225750152978511E-3</v>
      </c>
      <c r="V243" s="3">
        <v>-2.3952902886382218E-3</v>
      </c>
      <c r="W243" s="3">
        <v>1.5104367589958166E-2</v>
      </c>
      <c r="X243" s="3">
        <v>2.8144715680643292E-2</v>
      </c>
      <c r="Y243" s="3">
        <v>1.6351934263004464E-2</v>
      </c>
      <c r="Z243" s="3">
        <v>8.7609511889862688E-3</v>
      </c>
      <c r="AA243" s="3">
        <v>-3.4590634042466727E-2</v>
      </c>
      <c r="AB243" s="3">
        <v>8.2152602808221592E-3</v>
      </c>
      <c r="AC243" s="3">
        <v>-7.6904149746997493E-3</v>
      </c>
      <c r="AD243" s="3">
        <v>9.3896505419474655E-3</v>
      </c>
      <c r="AE243" s="3">
        <v>-2.2334323636661203E-2</v>
      </c>
      <c r="AF243" s="3">
        <v>-3.3154662498698667E-2</v>
      </c>
      <c r="AG243" s="3">
        <v>-1.2641803624104555E-3</v>
      </c>
      <c r="AH243" s="3">
        <v>1.9514475022681579E-2</v>
      </c>
      <c r="AI243" s="3">
        <v>2.009182704898434E-2</v>
      </c>
      <c r="AJ243" s="3">
        <v>3.0916334350283305E-3</v>
      </c>
      <c r="AK243" s="3">
        <v>1.4814814814814828E-2</v>
      </c>
      <c r="AL243" s="3">
        <v>-6.2029941962140952E-3</v>
      </c>
      <c r="AM243" s="3">
        <v>-8.4912190512500142E-3</v>
      </c>
      <c r="AN243" s="3">
        <v>-2.3340171962552392E-2</v>
      </c>
    </row>
    <row r="244" spans="1:40" x14ac:dyDescent="0.3">
      <c r="A244" s="101">
        <v>44663</v>
      </c>
      <c r="B244" s="3">
        <v>-1.1598559692347533E-2</v>
      </c>
      <c r="C244" s="3">
        <v>-8.382397108799209E-3</v>
      </c>
      <c r="D244" s="3">
        <v>8.1745392735731431E-3</v>
      </c>
      <c r="E244" s="3">
        <v>5.9125009277949661E-3</v>
      </c>
      <c r="F244" s="3">
        <v>-1.4827787182615531E-2</v>
      </c>
      <c r="G244" s="3">
        <v>3.1532754922033439E-2</v>
      </c>
      <c r="H244" s="3">
        <v>-1.7289155199773211E-3</v>
      </c>
      <c r="I244" s="3">
        <v>2.1373336311862258E-2</v>
      </c>
      <c r="J244" s="3">
        <v>-1.2547087923684509E-2</v>
      </c>
      <c r="K244" s="3">
        <v>-9.6176129779837874E-2</v>
      </c>
      <c r="L244" s="3">
        <v>-8.6872046804478925E-4</v>
      </c>
      <c r="M244" s="3">
        <v>-0.58753464679002176</v>
      </c>
      <c r="N244" s="3">
        <v>2.8265451460301031E-3</v>
      </c>
      <c r="O244" s="3">
        <v>5.5163221273716286E-3</v>
      </c>
      <c r="P244" s="3">
        <v>-3.1658291457286387E-2</v>
      </c>
      <c r="Q244" s="3">
        <v>2.5438601618415355E-2</v>
      </c>
      <c r="R244" s="3">
        <v>0</v>
      </c>
      <c r="S244" s="3">
        <v>1.2273144500549085E-2</v>
      </c>
      <c r="T244" s="3">
        <v>1.1534829464381733E-2</v>
      </c>
      <c r="U244" s="3">
        <v>1.5136041817786145E-2</v>
      </c>
      <c r="V244" s="3">
        <v>4.8019837620124923E-3</v>
      </c>
      <c r="W244" s="3">
        <v>-2.4070152045443893E-2</v>
      </c>
      <c r="X244" s="3">
        <v>5.5866202677826975E-3</v>
      </c>
      <c r="Y244" s="3">
        <v>-7.0055033601815631E-3</v>
      </c>
      <c r="Z244" s="3">
        <v>-7.4441687344913767E-3</v>
      </c>
      <c r="AA244" s="3">
        <v>-1.6498742665369104E-2</v>
      </c>
      <c r="AB244" s="3">
        <v>-3.5385537207533194E-2</v>
      </c>
      <c r="AC244" s="3">
        <v>-1.3082032891271776E-2</v>
      </c>
      <c r="AD244" s="3">
        <v>-6.976754805299093E-3</v>
      </c>
      <c r="AE244" s="3">
        <v>-4.6881996044746695E-2</v>
      </c>
      <c r="AF244" s="3">
        <v>7.8165377143618753E-3</v>
      </c>
      <c r="AG244" s="3">
        <v>-9.282742224356863E-3</v>
      </c>
      <c r="AH244" s="3">
        <v>-1.4005547377239601E-2</v>
      </c>
      <c r="AI244" s="3">
        <v>-2.8245715744086596E-2</v>
      </c>
      <c r="AJ244" s="3">
        <v>-1.1125388357273702E-2</v>
      </c>
      <c r="AK244" s="3">
        <v>-7.2992700729927071E-2</v>
      </c>
      <c r="AL244" s="3">
        <v>-1.708435741166061E-2</v>
      </c>
      <c r="AM244" s="3">
        <v>-1.1647762123541872E-2</v>
      </c>
      <c r="AN244" s="3">
        <v>-2.2034538145642043E-2</v>
      </c>
    </row>
    <row r="245" spans="1:40" x14ac:dyDescent="0.3">
      <c r="A245" s="101">
        <v>44664</v>
      </c>
      <c r="B245" s="3">
        <v>-1.0203987437283053E-3</v>
      </c>
      <c r="C245" s="3">
        <v>1.9876604980580304E-2</v>
      </c>
      <c r="D245" s="3">
        <v>-5.4055955123358083E-3</v>
      </c>
      <c r="E245" s="3">
        <v>-5.0565707849422985E-3</v>
      </c>
      <c r="F245" s="3">
        <v>-5.7547607703115752E-3</v>
      </c>
      <c r="G245" s="3">
        <v>5.1197335329341382E-3</v>
      </c>
      <c r="H245" s="3">
        <v>1.0032197932554807E-3</v>
      </c>
      <c r="I245" s="3">
        <v>-9.3499179054739832E-3</v>
      </c>
      <c r="J245" s="3">
        <v>5.2096595084018243E-3</v>
      </c>
      <c r="K245" s="3">
        <v>-3.8461538461538443E-2</v>
      </c>
      <c r="L245" s="3">
        <v>5.9125009277949661E-3</v>
      </c>
      <c r="M245" s="3">
        <v>4.3281874318924807</v>
      </c>
      <c r="N245" s="3">
        <v>-1.9644241251902204E-3</v>
      </c>
      <c r="O245" s="3">
        <v>-1.1657512883879517E-2</v>
      </c>
      <c r="P245" s="3">
        <v>1.8162999481058584E-2</v>
      </c>
      <c r="Q245" s="3">
        <v>-1.112062938482874E-2</v>
      </c>
      <c r="R245" s="3">
        <v>0</v>
      </c>
      <c r="S245" s="3">
        <v>8.2903155363296503E-3</v>
      </c>
      <c r="T245" s="3">
        <v>-8.869161439867386E-3</v>
      </c>
      <c r="U245" s="3">
        <v>3.6268384447450591E-2</v>
      </c>
      <c r="V245" s="3">
        <v>1.1947340538399911E-3</v>
      </c>
      <c r="W245" s="3">
        <v>-6.2779338605016442E-3</v>
      </c>
      <c r="X245" s="3">
        <v>1.8888888888888882E-2</v>
      </c>
      <c r="Y245" s="3">
        <v>1.7995988819681577E-2</v>
      </c>
      <c r="Z245" s="3">
        <v>2.4999999999999467E-3</v>
      </c>
      <c r="AA245" s="3">
        <v>-3.948959205791005E-3</v>
      </c>
      <c r="AB245" s="3">
        <v>1.9554459632603869E-3</v>
      </c>
      <c r="AC245" s="3">
        <v>-1.0491255677122818E-2</v>
      </c>
      <c r="AD245" s="3">
        <v>1.3047847157473209E-2</v>
      </c>
      <c r="AE245" s="3">
        <v>-4.8249266851269033E-2</v>
      </c>
      <c r="AF245" s="3">
        <v>-2.1766283419688125E-2</v>
      </c>
      <c r="AG245" s="3">
        <v>5.5366695059625229E-3</v>
      </c>
      <c r="AH245" s="3">
        <v>-2.9356142302649452E-2</v>
      </c>
      <c r="AI245" s="3">
        <v>2.2354098073926895E-2</v>
      </c>
      <c r="AJ245" s="3">
        <v>5.0171111922440162E-3</v>
      </c>
      <c r="AK245" s="3">
        <v>-1.5748031496063006E-2</v>
      </c>
      <c r="AL245" s="3">
        <v>1.0576276766251515E-3</v>
      </c>
      <c r="AM245" s="3">
        <v>-1.4110270874780204E-2</v>
      </c>
      <c r="AN245" s="3">
        <v>-1.2479432617363548E-2</v>
      </c>
    </row>
    <row r="246" spans="1:40" x14ac:dyDescent="0.3">
      <c r="A246" s="101">
        <v>44669</v>
      </c>
      <c r="B246" s="3">
        <v>-1.2768674693117495E-3</v>
      </c>
      <c r="C246" s="3">
        <v>2.9345923596458798E-2</v>
      </c>
      <c r="D246" s="3">
        <v>0.10326098487259458</v>
      </c>
      <c r="E246" s="3">
        <v>2.6064971979970433E-4</v>
      </c>
      <c r="F246" s="3">
        <v>4.4520920821506938E-4</v>
      </c>
      <c r="G246" s="3">
        <v>-1.1349072420069887E-2</v>
      </c>
      <c r="H246" s="3">
        <v>1.9096246436381887E-3</v>
      </c>
      <c r="I246" s="3">
        <v>3.0561789992644545E-2</v>
      </c>
      <c r="J246" s="3">
        <v>-8.8484793046193135E-3</v>
      </c>
      <c r="K246" s="3">
        <v>-7.8666666666666649E-2</v>
      </c>
      <c r="L246" s="3">
        <v>-5.0565707849422985E-3</v>
      </c>
      <c r="M246" s="3">
        <v>-0.34959266455329446</v>
      </c>
      <c r="N246" s="3">
        <v>-2.3962433190352519E-3</v>
      </c>
      <c r="O246" s="3">
        <v>-7.6313387310302221E-4</v>
      </c>
      <c r="P246" s="3">
        <v>1.5290468129945726E-2</v>
      </c>
      <c r="Q246" s="3">
        <v>1.0380643449222484E-2</v>
      </c>
      <c r="R246" s="3">
        <v>-1.6728576820021043E-2</v>
      </c>
      <c r="S246" s="3">
        <v>-9.8261190151973706E-3</v>
      </c>
      <c r="T246" s="3">
        <v>1.75774414264445E-2</v>
      </c>
      <c r="U246" s="3">
        <v>-8.5552930724274619E-3</v>
      </c>
      <c r="V246" s="3">
        <v>7.1598501683107912E-3</v>
      </c>
      <c r="W246" s="3">
        <v>5.0090289562811682E-2</v>
      </c>
      <c r="X246" s="3">
        <v>-1.3086123227917105E-2</v>
      </c>
      <c r="Y246" s="3">
        <v>6.9301284564484778E-3</v>
      </c>
      <c r="Z246" s="3">
        <v>3.3665835411471272E-2</v>
      </c>
      <c r="AA246" s="3">
        <v>-1.102933494644931E-2</v>
      </c>
      <c r="AB246" s="3">
        <v>1.2802438653774931E-2</v>
      </c>
      <c r="AC246" s="3">
        <v>1.5872008680693592E-2</v>
      </c>
      <c r="AD246" s="3">
        <v>1.2549468396879128E-2</v>
      </c>
      <c r="AE246" s="3">
        <v>-6.5719890671799924E-2</v>
      </c>
      <c r="AF246" s="3">
        <v>-2.4296670660626164E-2</v>
      </c>
      <c r="AG246" s="3">
        <v>-2.5413806632198269E-3</v>
      </c>
      <c r="AH246" s="3">
        <v>1.4563597768034214E-2</v>
      </c>
      <c r="AI246" s="3">
        <v>6.3108635536182353E-3</v>
      </c>
      <c r="AJ246" s="3">
        <v>9.6815926815078026E-3</v>
      </c>
      <c r="AK246" s="3">
        <v>-8.0000000000000071E-2</v>
      </c>
      <c r="AL246" s="3">
        <v>1.0442382451053353E-2</v>
      </c>
      <c r="AM246" s="3">
        <v>6.9948417411161718E-3</v>
      </c>
      <c r="AN246" s="3">
        <v>1.095540232920447E-2</v>
      </c>
    </row>
    <row r="247" spans="1:40" x14ac:dyDescent="0.3">
      <c r="A247" s="101">
        <v>44670</v>
      </c>
      <c r="B247" s="3">
        <v>-3.0681347548750211E-3</v>
      </c>
      <c r="C247" s="3">
        <v>3.9173013293296709E-3</v>
      </c>
      <c r="D247" s="3">
        <v>8.382642998027566E-3</v>
      </c>
      <c r="E247" s="3">
        <v>-4.7776812883792389E-4</v>
      </c>
      <c r="F247" s="3">
        <v>1.1125889459265483E-2</v>
      </c>
      <c r="G247" s="3">
        <v>2.3501109192547991E-2</v>
      </c>
      <c r="H247" s="3">
        <v>-8.4485147511020734E-5</v>
      </c>
      <c r="I247" s="3">
        <v>-1.7008274670116241E-2</v>
      </c>
      <c r="J247" s="3">
        <v>2.5518457429117716E-4</v>
      </c>
      <c r="K247" s="3">
        <v>1.1577424023154858E-2</v>
      </c>
      <c r="L247" s="3">
        <v>2.6064971979970433E-4</v>
      </c>
      <c r="M247" s="3">
        <v>4.2293380850060271E-2</v>
      </c>
      <c r="N247" s="3">
        <v>-1.2953668696889917E-2</v>
      </c>
      <c r="O247" s="3">
        <v>3.124560953910515E-3</v>
      </c>
      <c r="P247" s="3">
        <v>-1.9578263052208989E-2</v>
      </c>
      <c r="Q247" s="3">
        <v>-7.7054131282701015E-3</v>
      </c>
      <c r="R247" s="3">
        <v>-3.1946654328896297E-2</v>
      </c>
      <c r="S247" s="3">
        <v>0</v>
      </c>
      <c r="T247" s="3">
        <v>-6.9094930797686475E-3</v>
      </c>
      <c r="U247" s="3">
        <v>-2.3141807684972787E-2</v>
      </c>
      <c r="V247" s="3">
        <v>-1.0663426721173066E-2</v>
      </c>
      <c r="W247" s="3">
        <v>2.5784189290678525E-3</v>
      </c>
      <c r="X247" s="3">
        <v>2.7618783767445368E-4</v>
      </c>
      <c r="Y247" s="3">
        <v>2.3330417439435709E-2</v>
      </c>
      <c r="Z247" s="3">
        <v>3.9806996381182159E-2</v>
      </c>
      <c r="AA247" s="3">
        <v>1.3307460408500855E-2</v>
      </c>
      <c r="AB247" s="3">
        <v>5.3274731560840408E-3</v>
      </c>
      <c r="AC247" s="3">
        <v>-2.9373227682974287E-3</v>
      </c>
      <c r="AD247" s="3">
        <v>8.8063393580365273E-3</v>
      </c>
      <c r="AE247" s="3">
        <v>0.11549020975589923</v>
      </c>
      <c r="AF247" s="3">
        <v>3.2503341448564822E-2</v>
      </c>
      <c r="AG247" s="3">
        <v>1.5711295783919228E-2</v>
      </c>
      <c r="AH247" s="3">
        <v>6.2427736877601663E-2</v>
      </c>
      <c r="AI247" s="3">
        <v>7.5889921508681471E-2</v>
      </c>
      <c r="AJ247" s="3">
        <v>3.2361898694454744E-2</v>
      </c>
      <c r="AK247" s="3">
        <v>5.6521739130434935E-2</v>
      </c>
      <c r="AL247" s="3">
        <v>7.2816261519295378E-3</v>
      </c>
      <c r="AM247" s="3">
        <v>8.5877451767649732E-3</v>
      </c>
      <c r="AN247" s="3">
        <v>-4.4640618768752765E-3</v>
      </c>
    </row>
    <row r="248" spans="1:40" x14ac:dyDescent="0.3">
      <c r="A248" s="101">
        <v>44671</v>
      </c>
      <c r="B248" s="3">
        <v>-3.3343566217610815E-3</v>
      </c>
      <c r="C248" s="3">
        <v>-1.0622197905436788E-2</v>
      </c>
      <c r="D248" s="3">
        <v>7.3349633251834348E-3</v>
      </c>
      <c r="E248" s="3">
        <v>-1.0861689141836602E-3</v>
      </c>
      <c r="F248" s="3">
        <v>7.0423497103058097E-3</v>
      </c>
      <c r="G248" s="3">
        <v>4.1301143669079339E-2</v>
      </c>
      <c r="H248" s="3">
        <v>1.4093313280498264E-3</v>
      </c>
      <c r="I248" s="3">
        <v>6.6548802500617016E-3</v>
      </c>
      <c r="J248" s="3">
        <v>-3.0601140546217204E-3</v>
      </c>
      <c r="K248" s="3">
        <v>4.291845493562229E-2</v>
      </c>
      <c r="L248" s="3">
        <v>-4.7776812883792389E-4</v>
      </c>
      <c r="M248" s="3">
        <v>0.71711584875301693</v>
      </c>
      <c r="N248" s="3">
        <v>1.051631017422007E-2</v>
      </c>
      <c r="O248" s="3">
        <v>8.2370144365010289E-3</v>
      </c>
      <c r="P248" s="3">
        <v>-8.1925239020725175E-3</v>
      </c>
      <c r="Q248" s="3">
        <v>4.2277679400509534E-2</v>
      </c>
      <c r="R248" s="3">
        <v>0</v>
      </c>
      <c r="S248" s="3">
        <v>0</v>
      </c>
      <c r="T248" s="3">
        <v>-3.7951087834287183E-3</v>
      </c>
      <c r="U248" s="3">
        <v>2.0072724697675959E-4</v>
      </c>
      <c r="V248" s="3">
        <v>0</v>
      </c>
      <c r="W248" s="3">
        <v>8.0582613304897108E-3</v>
      </c>
      <c r="X248" s="3">
        <v>1.4913035485032644E-2</v>
      </c>
      <c r="Y248" s="3">
        <v>-1.0145335026708514E-2</v>
      </c>
      <c r="Z248" s="3">
        <v>-3.0162412993039421E-2</v>
      </c>
      <c r="AA248" s="3">
        <v>-6.4443730819517459E-2</v>
      </c>
      <c r="AB248" s="3">
        <v>-2.5804539365735134E-2</v>
      </c>
      <c r="AC248" s="3">
        <v>-4.1086832562770514E-2</v>
      </c>
      <c r="AD248" s="3">
        <v>1.1962456427327852E-2</v>
      </c>
      <c r="AE248" s="3">
        <v>-4.9179798107255472E-2</v>
      </c>
      <c r="AF248" s="3">
        <v>-3.0465840024183908E-3</v>
      </c>
      <c r="AG248" s="3">
        <v>-2.9264214046822857E-3</v>
      </c>
      <c r="AH248" s="3">
        <v>1.8133274338281026E-4</v>
      </c>
      <c r="AI248" s="3">
        <v>1.8959119918856109E-2</v>
      </c>
      <c r="AJ248" s="3">
        <v>-1.0231465791006067E-2</v>
      </c>
      <c r="AK248" s="3">
        <v>-2.8806584362140033E-2</v>
      </c>
      <c r="AL248" s="3">
        <v>-2.3775493727401283E-2</v>
      </c>
      <c r="AM248" s="3">
        <v>-3.403857203904867E-2</v>
      </c>
      <c r="AN248" s="3">
        <v>-3.0720521850385537E-2</v>
      </c>
    </row>
    <row r="249" spans="1:40" x14ac:dyDescent="0.3">
      <c r="A249" s="101">
        <v>44672</v>
      </c>
      <c r="B249" s="3">
        <v>-1.3638564876689232E-2</v>
      </c>
      <c r="C249" s="3">
        <v>-3.2427673804287474E-2</v>
      </c>
      <c r="D249" s="3">
        <v>-1.9417475728155355E-2</v>
      </c>
      <c r="E249" s="3">
        <v>2.6098983546115646E-4</v>
      </c>
      <c r="F249" s="3">
        <v>1.3985946184638744E-2</v>
      </c>
      <c r="G249" s="3">
        <v>4.1274162626817722E-3</v>
      </c>
      <c r="H249" s="3">
        <v>-9.1123245877514314E-5</v>
      </c>
      <c r="I249" s="3">
        <v>1.1458814189045295E-2</v>
      </c>
      <c r="J249" s="3">
        <v>3.1973591035538659E-3</v>
      </c>
      <c r="K249" s="3">
        <v>-1.3717421124828241E-3</v>
      </c>
      <c r="L249" s="3">
        <v>-1.0861689141836602E-3</v>
      </c>
      <c r="M249" s="3">
        <v>-0.28535871156661785</v>
      </c>
      <c r="N249" s="3">
        <v>9.2027598941076191E-3</v>
      </c>
      <c r="O249" s="3">
        <v>1.0572476711992426E-2</v>
      </c>
      <c r="P249" s="3">
        <v>-1.6004232524303805E-2</v>
      </c>
      <c r="Q249" s="3">
        <v>-5.7947572766658476E-3</v>
      </c>
      <c r="R249" s="3">
        <v>1.3891056487447909E-2</v>
      </c>
      <c r="S249" s="3">
        <v>2.9732148857415555E-2</v>
      </c>
      <c r="T249" s="3">
        <v>-1.2698341237691172E-3</v>
      </c>
      <c r="U249" s="3">
        <v>2.2079422632111725E-3</v>
      </c>
      <c r="V249" s="3">
        <v>4.7903826566058471E-3</v>
      </c>
      <c r="W249" s="3">
        <v>-2.0750043884440812E-2</v>
      </c>
      <c r="X249" s="3">
        <v>-1.4965959183673461E-2</v>
      </c>
      <c r="Y249" s="3">
        <v>-2.3838308560353579E-2</v>
      </c>
      <c r="Z249" s="3">
        <v>-3.1100478468899496E-2</v>
      </c>
      <c r="AA249" s="3">
        <v>-1.8822282200285985E-2</v>
      </c>
      <c r="AB249" s="3">
        <v>-7.4102300990100001E-3</v>
      </c>
      <c r="AC249" s="3">
        <v>1.8302382526708899E-3</v>
      </c>
      <c r="AD249" s="3">
        <v>-2.492007159275245E-2</v>
      </c>
      <c r="AE249" s="3">
        <v>4.2168444415667111E-2</v>
      </c>
      <c r="AF249" s="3">
        <v>5.3475684274422904E-3</v>
      </c>
      <c r="AG249" s="3">
        <v>-3.7735849056603713E-3</v>
      </c>
      <c r="AH249" s="3">
        <v>-1.8132279391441377E-2</v>
      </c>
      <c r="AI249" s="3">
        <v>5.4894337282647594E-3</v>
      </c>
      <c r="AJ249" s="3">
        <v>5.2786961195355527E-3</v>
      </c>
      <c r="AK249" s="3">
        <v>-2.5423728813559344E-2</v>
      </c>
      <c r="AL249" s="3">
        <v>-1.4049827899865839E-2</v>
      </c>
      <c r="AM249" s="3">
        <v>1.7238868613536927E-2</v>
      </c>
      <c r="AN249" s="3">
        <v>1.0474816953828956E-2</v>
      </c>
    </row>
    <row r="250" spans="1:40" x14ac:dyDescent="0.3">
      <c r="A250" s="101">
        <v>44673</v>
      </c>
      <c r="B250" s="3">
        <v>7.8271005790145072E-4</v>
      </c>
      <c r="C250" s="3">
        <v>5.6612318840579719E-3</v>
      </c>
      <c r="D250" s="3">
        <v>-2.2277227722772242E-2</v>
      </c>
      <c r="E250" s="3">
        <v>-5.3484953072640935E-3</v>
      </c>
      <c r="F250" s="3">
        <v>2.4137921357202226E-2</v>
      </c>
      <c r="G250" s="3">
        <v>-8.7276386794245926E-4</v>
      </c>
      <c r="H250" s="3">
        <v>-4.7590920597417943E-3</v>
      </c>
      <c r="I250" s="3">
        <v>1.8736301885660386E-2</v>
      </c>
      <c r="J250" s="3">
        <v>3.5696868660802464E-3</v>
      </c>
      <c r="K250" s="3">
        <v>1.3736263736263442E-3</v>
      </c>
      <c r="L250" s="3">
        <v>2.6098983546115646E-4</v>
      </c>
      <c r="M250" s="3">
        <v>-0.30813357918459333</v>
      </c>
      <c r="N250" s="3">
        <v>-5.2837888115706876E-3</v>
      </c>
      <c r="O250" s="3">
        <v>-6.4809851687269368E-2</v>
      </c>
      <c r="P250" s="3">
        <v>-2.623242530075667E-3</v>
      </c>
      <c r="Q250" s="3">
        <v>5.8285322060793064E-3</v>
      </c>
      <c r="R250" s="3">
        <v>-1.5063240264694033E-2</v>
      </c>
      <c r="S250" s="3">
        <v>-2.2649561619826012E-2</v>
      </c>
      <c r="T250" s="3">
        <v>-5.7215349901859613E-3</v>
      </c>
      <c r="U250" s="3">
        <v>-1.2617692954693263E-2</v>
      </c>
      <c r="V250" s="3">
        <v>2.3837721475499997E-3</v>
      </c>
      <c r="W250" s="3">
        <v>-5.6448378838560931E-3</v>
      </c>
      <c r="X250" s="3">
        <v>5.8010771878154446E-3</v>
      </c>
      <c r="Y250" s="3">
        <v>1.5513508025207873E-2</v>
      </c>
      <c r="Z250" s="3">
        <v>-6.1728395061727082E-3</v>
      </c>
      <c r="AA250" s="3">
        <v>-4.4248210488123246E-2</v>
      </c>
      <c r="AB250" s="3">
        <v>-2.493869465196687E-2</v>
      </c>
      <c r="AC250" s="3">
        <v>-1.2984083166359161E-2</v>
      </c>
      <c r="AD250" s="3">
        <v>-2.1952802040249339E-2</v>
      </c>
      <c r="AE250" s="3">
        <v>-1.9387482799367934E-2</v>
      </c>
      <c r="AF250" s="3">
        <v>-1.0638193687726482E-2</v>
      </c>
      <c r="AG250" s="3">
        <v>-3.1144781144781225E-2</v>
      </c>
      <c r="AH250" s="3">
        <v>-2.9548342880326844E-3</v>
      </c>
      <c r="AI250" s="3">
        <v>-1.4942093855198359E-3</v>
      </c>
      <c r="AJ250" s="3">
        <v>-2.7202457914308538E-2</v>
      </c>
      <c r="AK250" s="3">
        <v>-8.6956521739130523E-3</v>
      </c>
      <c r="AL250" s="3">
        <v>-3.018071934092003E-2</v>
      </c>
      <c r="AM250" s="3">
        <v>-2.0400695372887342E-2</v>
      </c>
      <c r="AN250" s="3">
        <v>-2.2323799915600514E-2</v>
      </c>
    </row>
    <row r="251" spans="1:40" x14ac:dyDescent="0.3">
      <c r="A251" s="101">
        <v>44676</v>
      </c>
      <c r="B251" s="3">
        <v>-3.2846895557859711E-2</v>
      </c>
      <c r="C251" s="3">
        <v>2.0265705922090389E-3</v>
      </c>
      <c r="D251" s="3">
        <v>-1.7721518987341842E-2</v>
      </c>
      <c r="E251" s="3">
        <v>-1.5957087694234685E-2</v>
      </c>
      <c r="F251" s="3">
        <v>5.8922329856206154E-3</v>
      </c>
      <c r="G251" s="3">
        <v>2.7361335840828796E-2</v>
      </c>
      <c r="H251" s="3">
        <v>-1.4922082987137096E-4</v>
      </c>
      <c r="I251" s="3">
        <v>-1.0692883777790044E-2</v>
      </c>
      <c r="J251" s="3">
        <v>-1.9309118161599706E-2</v>
      </c>
      <c r="K251" s="3">
        <v>2.6063100137174264E-2</v>
      </c>
      <c r="L251" s="3">
        <v>-5.3484953072640935E-3</v>
      </c>
      <c r="M251" s="3">
        <v>1.2437074326325142E-3</v>
      </c>
      <c r="N251" s="3">
        <v>-1.3709097292013924E-3</v>
      </c>
      <c r="O251" s="3">
        <v>4.9399544996132317E-3</v>
      </c>
      <c r="P251" s="3">
        <v>-3.9978958442924858E-2</v>
      </c>
      <c r="Q251" s="3">
        <v>3.39404239247292E-2</v>
      </c>
      <c r="R251" s="3">
        <v>2.9895557533306385E-2</v>
      </c>
      <c r="S251" s="3">
        <v>-3.1746688532825681E-3</v>
      </c>
      <c r="T251" s="3">
        <v>4.4757264696119407E-3</v>
      </c>
      <c r="U251" s="3">
        <v>-5.4766242986584784E-3</v>
      </c>
      <c r="V251" s="3">
        <v>2.3781229432826002E-2</v>
      </c>
      <c r="W251" s="3">
        <v>-5.8951968361309053E-2</v>
      </c>
      <c r="X251" s="3">
        <v>1.1809942323537678E-2</v>
      </c>
      <c r="Y251" s="3">
        <v>-3.1017639846244328E-2</v>
      </c>
      <c r="Z251" s="3">
        <v>-2.9813664596273427E-2</v>
      </c>
      <c r="AA251" s="3">
        <v>-3.0853205745481203E-2</v>
      </c>
      <c r="AB251" s="3">
        <v>1.7919856107017722E-2</v>
      </c>
      <c r="AC251" s="3">
        <v>8.9572702280194365E-3</v>
      </c>
      <c r="AD251" s="3">
        <v>2.2110495899690663E-2</v>
      </c>
      <c r="AE251" s="3">
        <v>5.0969288871115194E-3</v>
      </c>
      <c r="AF251" s="3">
        <v>-1.4080950341514704E-2</v>
      </c>
      <c r="AG251" s="3">
        <v>-1.0860121633362294E-2</v>
      </c>
      <c r="AH251" s="3">
        <v>-6.7604202028922851E-3</v>
      </c>
      <c r="AI251" s="3">
        <v>9.6816804965680226E-3</v>
      </c>
      <c r="AJ251" s="3">
        <v>1.6492249740571003E-3</v>
      </c>
      <c r="AK251" s="3">
        <v>-3.0701754385964845E-2</v>
      </c>
      <c r="AL251" s="3">
        <v>1.0222957460689892E-2</v>
      </c>
      <c r="AM251" s="3">
        <v>3.4640458614695864E-3</v>
      </c>
      <c r="AN251" s="3">
        <v>3.0235474025519658E-3</v>
      </c>
    </row>
    <row r="252" spans="1:40" x14ac:dyDescent="0.3">
      <c r="A252" s="101">
        <v>44677</v>
      </c>
      <c r="B252" s="3">
        <v>2.5067449806774011E-2</v>
      </c>
      <c r="C252" s="3">
        <v>-3.168539325842689E-2</v>
      </c>
      <c r="D252" s="3">
        <v>-1.0309278350515474E-2</v>
      </c>
      <c r="E252" s="3">
        <v>1.4661404629396451E-3</v>
      </c>
      <c r="F252" s="3">
        <v>2.9289410589415522E-3</v>
      </c>
      <c r="G252" s="3">
        <v>-4.0264385093001759E-2</v>
      </c>
      <c r="H252" s="3">
        <v>-3.7616044990010284E-3</v>
      </c>
      <c r="I252" s="3">
        <v>3.5884080193980802E-2</v>
      </c>
      <c r="J252" s="3">
        <v>9.0682977608445012E-4</v>
      </c>
      <c r="K252" s="3">
        <v>8.0213903743314979E-3</v>
      </c>
      <c r="L252" s="3">
        <v>-1.5957087694234685E-2</v>
      </c>
      <c r="M252" s="3">
        <v>-0.21838400567845737</v>
      </c>
      <c r="N252" s="3">
        <v>-5.6622154562757645E-3</v>
      </c>
      <c r="O252" s="3">
        <v>-4.698762147953112E-3</v>
      </c>
      <c r="P252" s="3">
        <v>2.2465753424657543E-2</v>
      </c>
      <c r="Q252" s="3">
        <v>-2.4019213760958367E-2</v>
      </c>
      <c r="R252" s="3">
        <v>-2.3132972388318698E-3</v>
      </c>
      <c r="S252" s="3">
        <v>1.5923509915377883E-3</v>
      </c>
      <c r="T252" s="3">
        <v>-1.6231744081881584E-2</v>
      </c>
      <c r="U252" s="3">
        <v>1.3257166145848129E-2</v>
      </c>
      <c r="V252" s="3">
        <v>2.3228627589490011E-3</v>
      </c>
      <c r="W252" s="3">
        <v>5.3364722122256633E-3</v>
      </c>
      <c r="X252" s="3">
        <v>1.0314902280130293E-2</v>
      </c>
      <c r="Y252" s="3">
        <v>7.3131875602906894E-3</v>
      </c>
      <c r="Z252" s="3">
        <v>1.2804097311140429E-3</v>
      </c>
      <c r="AA252" s="3">
        <v>3.1573035147122362E-2</v>
      </c>
      <c r="AB252" s="3">
        <v>1.9844676231817567E-2</v>
      </c>
      <c r="AC252" s="3">
        <v>3.498654147328361E-2</v>
      </c>
      <c r="AD252" s="3">
        <v>-8.5217653824026882E-3</v>
      </c>
      <c r="AE252" s="3">
        <v>2.0510354899670149E-2</v>
      </c>
      <c r="AF252" s="3">
        <v>1.0386885890365483E-2</v>
      </c>
      <c r="AG252" s="3">
        <v>2.503293807641635E-2</v>
      </c>
      <c r="AH252" s="3">
        <v>3.9626881120582706E-2</v>
      </c>
      <c r="AI252" s="3">
        <v>1.5031145340110694E-2</v>
      </c>
      <c r="AJ252" s="3">
        <v>1.7363992823128303E-2</v>
      </c>
      <c r="AK252" s="3">
        <v>0</v>
      </c>
      <c r="AL252" s="3">
        <v>2.3956957237533036E-2</v>
      </c>
      <c r="AM252" s="3">
        <v>1.3787841500942416E-2</v>
      </c>
      <c r="AN252" s="3">
        <v>1.9430846796827526E-2</v>
      </c>
    </row>
    <row r="253" spans="1:40" x14ac:dyDescent="0.3">
      <c r="A253" s="101">
        <v>44678</v>
      </c>
      <c r="B253" s="3">
        <v>2.1824824226790281E-2</v>
      </c>
      <c r="C253" s="3">
        <v>3.318635414249245E-2</v>
      </c>
      <c r="D253" s="3">
        <v>-3.3854166666666644E-2</v>
      </c>
      <c r="E253" s="3">
        <v>-5.4121232100096299E-3</v>
      </c>
      <c r="F253" s="3">
        <v>-1.2515711625674586E-3</v>
      </c>
      <c r="G253" s="3">
        <v>-3.8867153966824018E-2</v>
      </c>
      <c r="H253" s="3">
        <v>3.7383559405131522E-3</v>
      </c>
      <c r="I253" s="3">
        <v>1.2103552990596123E-2</v>
      </c>
      <c r="J253" s="3">
        <v>2.8472112743519159E-3</v>
      </c>
      <c r="K253" s="3">
        <v>1.4588859416445665E-2</v>
      </c>
      <c r="L253" s="3">
        <v>1.4661404629396451E-3</v>
      </c>
      <c r="M253" s="3">
        <v>-4.6208566671711825E-3</v>
      </c>
      <c r="N253" s="3">
        <v>-9.7498165410121271E-3</v>
      </c>
      <c r="O253" s="3">
        <v>-1.6122993450656573E-2</v>
      </c>
      <c r="P253" s="3">
        <v>-9.6463022508038437E-3</v>
      </c>
      <c r="Q253" s="3">
        <v>4.183752752714083E-2</v>
      </c>
      <c r="R253" s="3">
        <v>-1.6380063153899276E-2</v>
      </c>
      <c r="S253" s="3">
        <v>-4.7694576861565252E-3</v>
      </c>
      <c r="T253" s="3">
        <v>3.5587396772972023E-3</v>
      </c>
      <c r="U253" s="3">
        <v>4.0262714824884757E-4</v>
      </c>
      <c r="V253" s="3">
        <v>0</v>
      </c>
      <c r="W253" s="3">
        <v>1.8232023389049695E-2</v>
      </c>
      <c r="X253" s="3">
        <v>-9.9409723282920942E-3</v>
      </c>
      <c r="Y253" s="3">
        <v>2.9338301626803724E-2</v>
      </c>
      <c r="Z253" s="3">
        <v>3.1969309462915603E-2</v>
      </c>
      <c r="AA253" s="3">
        <v>-2.1890985635456533E-2</v>
      </c>
      <c r="AB253" s="3">
        <v>-9.2585707708040654E-3</v>
      </c>
      <c r="AC253" s="3">
        <v>-1.5193106189826206E-3</v>
      </c>
      <c r="AD253" s="3">
        <v>-1.1570334243620969E-2</v>
      </c>
      <c r="AE253" s="3">
        <v>-1.1141063036262808E-2</v>
      </c>
      <c r="AF253" s="3">
        <v>-1.2850127581844211E-2</v>
      </c>
      <c r="AG253" s="3">
        <v>-5.9982433590402544E-3</v>
      </c>
      <c r="AH253" s="3">
        <v>0</v>
      </c>
      <c r="AI253" s="3">
        <v>3.0014137175510814E-2</v>
      </c>
      <c r="AJ253" s="3">
        <v>3.5311860880552792E-3</v>
      </c>
      <c r="AK253" s="3">
        <v>3.1674208144796309E-2</v>
      </c>
      <c r="AL253" s="3">
        <v>2.2667173448010871E-3</v>
      </c>
      <c r="AM253" s="3">
        <v>-8.9790482698487249E-3</v>
      </c>
      <c r="AN253" s="3">
        <v>1.4735157411395708E-2</v>
      </c>
    </row>
    <row r="254" spans="1:40" x14ac:dyDescent="0.3">
      <c r="A254" s="101">
        <v>44679</v>
      </c>
      <c r="B254" s="3">
        <v>-1.8785304893130374E-2</v>
      </c>
      <c r="C254" s="3">
        <v>1.9106506963162619</v>
      </c>
      <c r="D254" s="3">
        <v>-1.3477088948786774E-3</v>
      </c>
      <c r="E254" s="3">
        <v>1.7038341430064819E-2</v>
      </c>
      <c r="F254" s="3">
        <v>6.6833838725513109E-3</v>
      </c>
      <c r="G254" s="3">
        <v>-4.8169724647912924E-3</v>
      </c>
      <c r="H254" s="3">
        <v>-3.7108646246735767E-3</v>
      </c>
      <c r="I254" s="3">
        <v>1.4433001537086704E-2</v>
      </c>
      <c r="J254" s="3">
        <v>-1.0969155988623438E-2</v>
      </c>
      <c r="K254" s="3">
        <v>0</v>
      </c>
      <c r="L254" s="3">
        <v>-5.4121232100096299E-3</v>
      </c>
      <c r="M254" s="3">
        <v>-0.99996540697365</v>
      </c>
      <c r="N254" s="3">
        <v>1.6555440085621756E-3</v>
      </c>
      <c r="O254" s="3">
        <v>-1.6682687737159262E-2</v>
      </c>
      <c r="P254" s="3">
        <v>-2.1645021645021759E-2</v>
      </c>
      <c r="Q254" s="3">
        <v>2.2834750301191552E-2</v>
      </c>
      <c r="R254" s="3">
        <v>-1.140598271724793E-2</v>
      </c>
      <c r="S254" s="3">
        <v>9.5855661885417955E-4</v>
      </c>
      <c r="T254" s="3">
        <v>6.1250215681811979E-3</v>
      </c>
      <c r="U254" s="3">
        <v>2.4144447289869155E-3</v>
      </c>
      <c r="V254" s="3">
        <v>-1.274623340146671E-2</v>
      </c>
      <c r="W254" s="3">
        <v>-2.1758717404903295E-2</v>
      </c>
      <c r="X254" s="3">
        <v>-2.1166839683410543E-2</v>
      </c>
      <c r="Y254" s="3">
        <v>-1.1389263968380253E-2</v>
      </c>
      <c r="Z254" s="3">
        <v>-1.6109045848822785E-2</v>
      </c>
      <c r="AA254" s="3">
        <v>1.8029488257421138E-3</v>
      </c>
      <c r="AB254" s="3">
        <v>-1.1245717061739678E-2</v>
      </c>
      <c r="AC254" s="3">
        <v>-1.7434857531584726E-2</v>
      </c>
      <c r="AD254" s="3">
        <v>2.0401395247101346E-2</v>
      </c>
      <c r="AE254" s="3">
        <v>4.1929412327580053E-2</v>
      </c>
      <c r="AF254" s="3">
        <v>4.556110577433245E-2</v>
      </c>
      <c r="AG254" s="3">
        <v>-8.6211203180554176E-4</v>
      </c>
      <c r="AH254" s="3">
        <v>-2.2421486423977132E-2</v>
      </c>
      <c r="AI254" s="3">
        <v>-1.344055470069728E-2</v>
      </c>
      <c r="AJ254" s="3">
        <v>-6.2312733617184051E-3</v>
      </c>
      <c r="AK254" s="3">
        <v>7.0175438596491294E-2</v>
      </c>
      <c r="AL254" s="3">
        <v>-7.745309762291595E-3</v>
      </c>
      <c r="AM254" s="3">
        <v>-5.4403464415251866E-3</v>
      </c>
      <c r="AN254" s="3">
        <v>-1.1653062713296697E-2</v>
      </c>
    </row>
    <row r="255" spans="1:40" x14ac:dyDescent="0.3">
      <c r="A255" s="101">
        <v>44680</v>
      </c>
      <c r="B255" s="3">
        <v>3.0684448254781213E-2</v>
      </c>
      <c r="C255" s="3">
        <v>-9.4586933484651567E-3</v>
      </c>
      <c r="D255" s="3">
        <v>370.05401538461535</v>
      </c>
      <c r="E255" s="3">
        <v>4.2978724663488722E-3</v>
      </c>
      <c r="F255" s="3">
        <v>1.5352752926313705E-2</v>
      </c>
      <c r="G255" s="3">
        <v>-9.4505374558514557E-2</v>
      </c>
      <c r="H255" s="3">
        <v>-5.8321644037096611E-3</v>
      </c>
      <c r="I255" s="3">
        <v>-1.2195161564911992E-2</v>
      </c>
      <c r="J255" s="3">
        <v>6.5239122314901673E-4</v>
      </c>
      <c r="K255" s="3">
        <v>2.6143790849672646E-3</v>
      </c>
      <c r="L255" s="3">
        <v>1.7038341430064819E-2</v>
      </c>
      <c r="M255" s="3">
        <v>-4.5274747252747244E-2</v>
      </c>
      <c r="N255" s="3">
        <v>1.1395200082783498E-2</v>
      </c>
      <c r="O255" s="3">
        <v>-9.4586933484651567E-3</v>
      </c>
      <c r="P255" s="3">
        <v>4.3141648230088619E-2</v>
      </c>
      <c r="Q255" s="3">
        <v>3.3872114568717991E-2</v>
      </c>
      <c r="R255" s="3">
        <v>7.7688313821131982E-3</v>
      </c>
      <c r="S255" s="3">
        <v>-9.576386679705257E-4</v>
      </c>
      <c r="T255" s="3">
        <v>-3.844900003246068E-3</v>
      </c>
      <c r="U255" s="3">
        <v>2.0072289120921523E-2</v>
      </c>
      <c r="V255" s="3">
        <v>0</v>
      </c>
      <c r="W255" s="3">
        <v>-1.0658106893994258E-2</v>
      </c>
      <c r="X255" s="3">
        <v>1.8852231771555299E-2</v>
      </c>
      <c r="Y255" s="3">
        <v>-1.8128538011696336E-3</v>
      </c>
      <c r="Z255" s="3">
        <v>-5.0377833753148657E-3</v>
      </c>
      <c r="AA255" s="3">
        <v>-2.4936386602003414E-2</v>
      </c>
      <c r="AB255" s="3">
        <v>-1.2814346181359423E-3</v>
      </c>
      <c r="AC255" s="3">
        <v>1.1711205011617072E-2</v>
      </c>
      <c r="AD255" s="3">
        <v>-4.916296782913201E-3</v>
      </c>
      <c r="AE255" s="3">
        <v>-1.4407283551154346E-2</v>
      </c>
      <c r="AF255" s="3">
        <v>-1.1703197299649347E-2</v>
      </c>
      <c r="AG255" s="3">
        <v>-4.3140638481440941E-4</v>
      </c>
      <c r="AH255" s="3">
        <v>1.2844114511569284E-2</v>
      </c>
      <c r="AI255" s="3">
        <v>3.4059175063507982E-3</v>
      </c>
      <c r="AJ255" s="3">
        <v>-1.9179627246687606E-2</v>
      </c>
      <c r="AK255" s="3">
        <v>1.2295081967213217E-2</v>
      </c>
      <c r="AL255" s="3">
        <v>2.2922337358440418E-3</v>
      </c>
      <c r="AM255" s="3">
        <v>2.9201550607061673E-3</v>
      </c>
      <c r="AN255" s="3">
        <v>-1.4851436321744766E-4</v>
      </c>
    </row>
    <row r="256" spans="1:40" x14ac:dyDescent="0.3">
      <c r="A256" s="101">
        <v>44683</v>
      </c>
      <c r="B256" s="3">
        <v>1.0178129132150838E-2</v>
      </c>
      <c r="C256" s="3">
        <v>-1.5384800446126246E-2</v>
      </c>
      <c r="D256" s="3">
        <v>-1.4215069735832599E-3</v>
      </c>
      <c r="E256" s="3">
        <v>1.8166022508297779E-2</v>
      </c>
      <c r="F256" s="3">
        <v>-4.0871934025193387E-4</v>
      </c>
      <c r="G256" s="3">
        <v>1.4254626240708862E-2</v>
      </c>
      <c r="H256" s="3">
        <v>-2.8081903268118574E-4</v>
      </c>
      <c r="I256" s="3">
        <v>4.1152539231656638E-3</v>
      </c>
      <c r="J256" s="3">
        <v>-1.9428880312761215E-2</v>
      </c>
      <c r="K256" s="3">
        <v>-1.3037809647978862E-3</v>
      </c>
      <c r="L256" s="3">
        <v>4.2978724663488722E-3</v>
      </c>
      <c r="M256" s="3">
        <v>2.6703476673652759E-2</v>
      </c>
      <c r="N256" s="3">
        <v>-1.8405459603858525E-2</v>
      </c>
      <c r="O256" s="3">
        <v>-1.5384800446126246E-2</v>
      </c>
      <c r="P256" s="3">
        <v>-1.855784631188508E-2</v>
      </c>
      <c r="Q256" s="3">
        <v>4.4676661914490852E-3</v>
      </c>
      <c r="R256" s="3">
        <v>0</v>
      </c>
      <c r="S256" s="3">
        <v>0</v>
      </c>
      <c r="T256" s="3">
        <v>-2.2514908195405592E-3</v>
      </c>
      <c r="U256" s="3">
        <v>-3.3451625518971526E-3</v>
      </c>
      <c r="V256" s="3">
        <v>-8.2159002782699643E-3</v>
      </c>
      <c r="W256" s="3">
        <v>6.0890224413693433E-3</v>
      </c>
      <c r="X256" s="3">
        <v>-9.5237551020407995E-3</v>
      </c>
      <c r="Y256" s="3">
        <v>8.0262228832829637E-3</v>
      </c>
      <c r="Z256" s="3">
        <v>1.139240506329112E-2</v>
      </c>
      <c r="AA256" s="3">
        <v>4.1387129753434546E-2</v>
      </c>
      <c r="AB256" s="3">
        <v>2.1012109116012211E-2</v>
      </c>
      <c r="AC256" s="3">
        <v>1.6008128652165325E-2</v>
      </c>
      <c r="AD256" s="3">
        <v>8.8931511384005013E-3</v>
      </c>
      <c r="AE256" s="3">
        <v>4.718867718724197E-2</v>
      </c>
      <c r="AF256" s="3">
        <v>4.6107230822825994E-2</v>
      </c>
      <c r="AG256" s="3">
        <v>1.553737591713409E-2</v>
      </c>
      <c r="AH256" s="3">
        <v>1.1775282233049732E-2</v>
      </c>
      <c r="AI256" s="3">
        <v>1.6248406404278069E-2</v>
      </c>
      <c r="AJ256" s="3">
        <v>2.3315335046716198E-3</v>
      </c>
      <c r="AK256" s="3">
        <v>0.14574898785425094</v>
      </c>
      <c r="AL256" s="3">
        <v>2.0522248177360928E-2</v>
      </c>
      <c r="AM256" s="3">
        <v>2.8644659947229954E-2</v>
      </c>
      <c r="AN256" s="3">
        <v>4.9137138415424764E-3</v>
      </c>
    </row>
    <row r="257" spans="1:40" x14ac:dyDescent="0.3">
      <c r="A257" s="101">
        <v>44684</v>
      </c>
      <c r="B257" s="3">
        <v>2.2418204154993016E-2</v>
      </c>
      <c r="C257" s="3">
        <v>1.116074890305358E-2</v>
      </c>
      <c r="D257" s="3">
        <v>-1.4163277396970222E-3</v>
      </c>
      <c r="E257" s="3">
        <v>2.4445917988000485E-3</v>
      </c>
      <c r="F257" s="3">
        <v>9.8119106308231594E-3</v>
      </c>
      <c r="G257" s="3">
        <v>4.5220878957302355E-2</v>
      </c>
      <c r="H257" s="3">
        <v>4.7375831132395437E-3</v>
      </c>
      <c r="I257" s="3">
        <v>1.065575845727083E-2</v>
      </c>
      <c r="J257" s="3">
        <v>5.3191119667820213E-3</v>
      </c>
      <c r="K257" s="3">
        <v>1.3054830287205987E-3</v>
      </c>
      <c r="L257" s="3">
        <v>1.8166022508297779E-2</v>
      </c>
      <c r="M257" s="3">
        <v>4.2600943614392102E-2</v>
      </c>
      <c r="N257" s="3">
        <v>6.3962686962799227E-3</v>
      </c>
      <c r="O257" s="3">
        <v>1.116074890305358E-2</v>
      </c>
      <c r="P257" s="3">
        <v>7.563479200432037E-3</v>
      </c>
      <c r="Q257" s="3">
        <v>4.4477008804273228E-3</v>
      </c>
      <c r="R257" s="3">
        <v>0</v>
      </c>
      <c r="S257" s="3">
        <v>-1.8936043773280543E-3</v>
      </c>
      <c r="T257" s="3">
        <v>1.0638262192823791E-2</v>
      </c>
      <c r="U257" s="3">
        <v>-5.5281509917592545E-3</v>
      </c>
      <c r="V257" s="3">
        <v>-2.840244360181312E-2</v>
      </c>
      <c r="W257" s="3">
        <v>2.8770900659179279E-2</v>
      </c>
      <c r="X257" s="3">
        <v>4.1207964768792881E-3</v>
      </c>
      <c r="Y257" s="3">
        <v>1.6215320425611073E-2</v>
      </c>
      <c r="Z257" s="3">
        <v>1.7521902377972538E-2</v>
      </c>
      <c r="AA257" s="3">
        <v>-1.0054918128141875E-2</v>
      </c>
      <c r="AB257" s="3">
        <v>-1.4767156611483175E-2</v>
      </c>
      <c r="AC257" s="3">
        <v>-7.4698663320297521E-3</v>
      </c>
      <c r="AD257" s="3">
        <v>1.1426689495977634E-2</v>
      </c>
      <c r="AE257" s="3">
        <v>-1.586408960502117E-2</v>
      </c>
      <c r="AF257" s="3">
        <v>1.517349439813046E-2</v>
      </c>
      <c r="AG257" s="3">
        <v>-1.2750105705477282E-3</v>
      </c>
      <c r="AH257" s="3">
        <v>4.2435140325168992E-2</v>
      </c>
      <c r="AI257" s="3">
        <v>4.3803606099945668E-3</v>
      </c>
      <c r="AJ257" s="3">
        <v>-4.5770839887197459E-3</v>
      </c>
      <c r="AK257" s="3">
        <v>-6.3604240282685562E-2</v>
      </c>
      <c r="AL257" s="3">
        <v>-4.6645078413262509E-3</v>
      </c>
      <c r="AM257" s="3">
        <v>-7.5348294736523906E-3</v>
      </c>
      <c r="AN257" s="3">
        <v>-1.3732855200028538E-2</v>
      </c>
    </row>
    <row r="258" spans="1:40" x14ac:dyDescent="0.3">
      <c r="A258" s="101">
        <v>44685</v>
      </c>
      <c r="B258" s="3">
        <v>4.9273019185852975E-3</v>
      </c>
      <c r="C258" s="3">
        <v>-9.5913550074199789E-3</v>
      </c>
      <c r="D258" s="3">
        <v>-1.0781777142700232E-3</v>
      </c>
      <c r="E258" s="3">
        <v>6.2037069437029333E-3</v>
      </c>
      <c r="F258" s="3">
        <v>-1.4574818980712218E-2</v>
      </c>
      <c r="G258" s="3">
        <v>4.5442947103594908E-3</v>
      </c>
      <c r="H258" s="3">
        <v>1.4421896735127152E-3</v>
      </c>
      <c r="I258" s="3">
        <v>6.4882333936093113E-3</v>
      </c>
      <c r="J258" s="3">
        <v>-2.3808626785784097E-3</v>
      </c>
      <c r="K258" s="3">
        <v>0</v>
      </c>
      <c r="L258" s="3">
        <v>2.4445917988000485E-3</v>
      </c>
      <c r="M258" s="3">
        <v>-1.9569892473118206E-2</v>
      </c>
      <c r="N258" s="3">
        <v>-1.1056976026012898E-2</v>
      </c>
      <c r="O258" s="3">
        <v>-9.5913550074199789E-3</v>
      </c>
      <c r="P258" s="3">
        <v>1.0723860589812485E-2</v>
      </c>
      <c r="Q258" s="3">
        <v>0</v>
      </c>
      <c r="R258" s="3">
        <v>1.1143177371840196E-2</v>
      </c>
      <c r="S258" s="3">
        <v>0</v>
      </c>
      <c r="T258" s="3">
        <v>-1.5948793229136017E-3</v>
      </c>
      <c r="U258" s="3">
        <v>-1.9058993012239317E-2</v>
      </c>
      <c r="V258" s="3">
        <v>2.1924518137702319E-2</v>
      </c>
      <c r="W258" s="3">
        <v>-4.7424991213590367E-2</v>
      </c>
      <c r="X258" s="3">
        <v>0</v>
      </c>
      <c r="Y258" s="3">
        <v>-2.8138477730449786E-2</v>
      </c>
      <c r="Z258" s="3">
        <v>-3.0750307503075138E-2</v>
      </c>
      <c r="AA258" s="3">
        <v>4.4002225044801807E-2</v>
      </c>
      <c r="AB258" s="3">
        <v>1.3314209919221874E-2</v>
      </c>
      <c r="AC258" s="3">
        <v>2.6562924794636244E-2</v>
      </c>
      <c r="AD258" s="3">
        <v>3.8734968046432654E-3</v>
      </c>
      <c r="AE258" s="3">
        <v>5.0113435054228467E-2</v>
      </c>
      <c r="AF258" s="3">
        <v>-1.4472176802469209E-2</v>
      </c>
      <c r="AG258" s="3">
        <v>1.6595702127659553E-2</v>
      </c>
      <c r="AH258" s="3">
        <v>-3.383715824161785E-2</v>
      </c>
      <c r="AI258" s="3">
        <v>1.771794053899866E-2</v>
      </c>
      <c r="AJ258" s="3">
        <v>1.0553163620100994E-2</v>
      </c>
      <c r="AK258" s="3">
        <v>-4.5283018867924567E-2</v>
      </c>
      <c r="AL258" s="3">
        <v>2.6254804304843414E-2</v>
      </c>
      <c r="AM258" s="3">
        <v>1.0062421115233627E-2</v>
      </c>
      <c r="AN258" s="3">
        <v>1.3084212123396865E-2</v>
      </c>
    </row>
    <row r="259" spans="1:40" x14ac:dyDescent="0.3">
      <c r="A259" s="101">
        <v>44686</v>
      </c>
      <c r="B259" s="3">
        <v>-4.1677386172071377E-3</v>
      </c>
      <c r="C259" s="3">
        <v>-1.9368045428363748E-2</v>
      </c>
      <c r="D259" s="3">
        <v>-6.5190155528498139E-4</v>
      </c>
      <c r="E259" s="3">
        <v>1.9729712824056864E-2</v>
      </c>
      <c r="F259" s="3">
        <v>8.2169170718838173E-3</v>
      </c>
      <c r="G259" s="3">
        <v>-6.9715562673221876E-2</v>
      </c>
      <c r="H259" s="3">
        <v>-6.809043771937139E-5</v>
      </c>
      <c r="I259" s="3">
        <v>1.1281192655987361E-2</v>
      </c>
      <c r="J259" s="3">
        <v>-1.0740041288903365E-2</v>
      </c>
      <c r="K259" s="3">
        <v>0</v>
      </c>
      <c r="L259" s="3">
        <v>6.2037069437029333E-3</v>
      </c>
      <c r="M259" s="3">
        <v>3.9701732836148217E-2</v>
      </c>
      <c r="N259" s="3">
        <v>1.0124188157677483E-2</v>
      </c>
      <c r="O259" s="3">
        <v>-1.9368045428363748E-2</v>
      </c>
      <c r="P259" s="3">
        <v>-1.0610079575596967E-2</v>
      </c>
      <c r="Q259" s="3">
        <v>-3.7638337091828046E-2</v>
      </c>
      <c r="R259" s="3">
        <v>-6.0382466941025226E-4</v>
      </c>
      <c r="S259" s="3">
        <v>0</v>
      </c>
      <c r="T259" s="3">
        <v>7.9871996724404509E-3</v>
      </c>
      <c r="U259" s="3">
        <v>1.1333772953688046E-2</v>
      </c>
      <c r="V259" s="3">
        <v>3.5756582276287177E-3</v>
      </c>
      <c r="W259" s="3">
        <v>5.6056262116291923E-3</v>
      </c>
      <c r="X259" s="3">
        <v>-2.7359234674671088E-3</v>
      </c>
      <c r="Y259" s="3">
        <v>1.9831755068688832E-2</v>
      </c>
      <c r="Z259" s="3">
        <v>8.883248730964504E-3</v>
      </c>
      <c r="AA259" s="3">
        <v>-2.8856671675917094E-3</v>
      </c>
      <c r="AB259" s="3">
        <v>-1.5735208593084546E-3</v>
      </c>
      <c r="AC259" s="3">
        <v>9.7341710603738411E-3</v>
      </c>
      <c r="AD259" s="3">
        <v>-2.3151103440309816E-2</v>
      </c>
      <c r="AE259" s="3">
        <v>-4.3775963240090237E-3</v>
      </c>
      <c r="AF259" s="3">
        <v>-1.5406869920665677E-2</v>
      </c>
      <c r="AG259" s="3">
        <v>-1.3813311586994972E-2</v>
      </c>
      <c r="AH259" s="3">
        <v>1.4222243401304614E-2</v>
      </c>
      <c r="AI259" s="3">
        <v>-1.435611946713543E-2</v>
      </c>
      <c r="AJ259" s="3">
        <v>1.9394600221017864E-3</v>
      </c>
      <c r="AK259" s="3">
        <v>-5.1383399209486126E-2</v>
      </c>
      <c r="AL259" s="3">
        <v>9.9718695135802529E-4</v>
      </c>
      <c r="AM259" s="3">
        <v>-3.1020044116365753E-3</v>
      </c>
      <c r="AN259" s="3">
        <v>4.3328516718473837E-3</v>
      </c>
    </row>
    <row r="260" spans="1:40" x14ac:dyDescent="0.3">
      <c r="A260" s="101">
        <v>44687</v>
      </c>
      <c r="B260" s="3">
        <v>2.1171897237205941E-2</v>
      </c>
      <c r="C260" s="3">
        <v>-4.7030493496523929E-4</v>
      </c>
      <c r="D260" s="3">
        <v>-2.8276726633879581E-4</v>
      </c>
      <c r="E260" s="3">
        <v>1.1049916101840218E-2</v>
      </c>
      <c r="F260" s="3">
        <v>3.6674212861320752E-3</v>
      </c>
      <c r="G260" s="3">
        <v>-5.0726020874167881E-2</v>
      </c>
      <c r="H260" s="3">
        <v>-6.7005553153311626E-3</v>
      </c>
      <c r="I260" s="3">
        <v>8.7649417675954595E-3</v>
      </c>
      <c r="J260" s="3">
        <v>-2.2784678538608949E-3</v>
      </c>
      <c r="K260" s="3">
        <v>0</v>
      </c>
      <c r="L260" s="3">
        <v>1.9729712824056864E-2</v>
      </c>
      <c r="M260" s="3">
        <v>-1.2658649254908727E-3</v>
      </c>
      <c r="N260" s="3">
        <v>-1.0022716292085392E-2</v>
      </c>
      <c r="O260" s="3">
        <v>-4.7030493496523929E-4</v>
      </c>
      <c r="P260" s="3">
        <v>1.1260107238606E-2</v>
      </c>
      <c r="Q260" s="3">
        <v>2.0705442524837265E-2</v>
      </c>
      <c r="R260" s="3">
        <v>-6.7221268318299063E-3</v>
      </c>
      <c r="S260" s="3">
        <v>0</v>
      </c>
      <c r="T260" s="3">
        <v>-2.5356754745183134E-3</v>
      </c>
      <c r="U260" s="3">
        <v>-1.040619732274062E-2</v>
      </c>
      <c r="V260" s="3">
        <v>-1.0688853471955318E-2</v>
      </c>
      <c r="W260" s="3">
        <v>-5.1870803148820144E-2</v>
      </c>
      <c r="X260" s="3">
        <v>-1.2619999653772394E-2</v>
      </c>
      <c r="Y260" s="3">
        <v>-2.7870755432127761E-2</v>
      </c>
      <c r="Z260" s="3">
        <v>-1.2578616352201324E-2</v>
      </c>
      <c r="AA260" s="3">
        <v>2.3879957654402591E-2</v>
      </c>
      <c r="AB260" s="3">
        <v>-3.9402808631043378E-4</v>
      </c>
      <c r="AC260" s="3">
        <v>-3.9661062396805034E-4</v>
      </c>
      <c r="AD260" s="3">
        <v>3.2915903409028312E-3</v>
      </c>
      <c r="AE260" s="3">
        <v>9.5168582175228916E-3</v>
      </c>
      <c r="AF260" s="3">
        <v>3.8141784290067024E-2</v>
      </c>
      <c r="AG260" s="3">
        <v>3.3955858826648631E-3</v>
      </c>
      <c r="AH260" s="3">
        <v>-3.2427692751217041E-2</v>
      </c>
      <c r="AI260" s="3">
        <v>-1.3043394730649119E-2</v>
      </c>
      <c r="AJ260" s="3">
        <v>1.9133236876336699E-2</v>
      </c>
      <c r="AK260" s="3">
        <v>1.6666666666666684E-2</v>
      </c>
      <c r="AL260" s="3">
        <v>1.0153287452446704E-2</v>
      </c>
      <c r="AM260" s="3">
        <v>2.0345254879684679E-3</v>
      </c>
      <c r="AN260" s="3">
        <v>1.8747610615042032E-3</v>
      </c>
    </row>
    <row r="261" spans="1:40" x14ac:dyDescent="0.3">
      <c r="A261" s="101">
        <v>44690</v>
      </c>
      <c r="B261" s="3">
        <v>7.9556551812194308E-3</v>
      </c>
      <c r="C261" s="3">
        <v>1.2467606886704069E-2</v>
      </c>
      <c r="D261" s="3">
        <v>3.9517406898654647E-3</v>
      </c>
      <c r="E261" s="3">
        <v>-1.196136133017152E-3</v>
      </c>
      <c r="F261" s="3">
        <v>2.0300822290409493E-3</v>
      </c>
      <c r="G261" s="3">
        <v>-3.5191742914573533E-2</v>
      </c>
      <c r="H261" s="3">
        <v>7.1913594000115773E-3</v>
      </c>
      <c r="I261" s="3">
        <v>-2.448651726086053E-2</v>
      </c>
      <c r="J261" s="3">
        <v>2.1762425238074309E-2</v>
      </c>
      <c r="K261" s="3">
        <v>178.07499986962191</v>
      </c>
      <c r="L261" s="3">
        <v>1.1049916101840218E-2</v>
      </c>
      <c r="M261" s="3">
        <v>0</v>
      </c>
      <c r="N261" s="3">
        <v>-4.2257281015108117E-3</v>
      </c>
      <c r="O261" s="3">
        <v>1.2467606886704069E-2</v>
      </c>
      <c r="P261" s="3">
        <v>1.3785789300859422E-2</v>
      </c>
      <c r="Q261" s="3">
        <v>-1.2772243945027274E-2</v>
      </c>
      <c r="R261" s="3">
        <v>-4.5612495344506614E-4</v>
      </c>
      <c r="S261" s="3">
        <v>0</v>
      </c>
      <c r="T261" s="3">
        <v>-2.8598104246205739E-3</v>
      </c>
      <c r="U261" s="3">
        <v>6.4711790100016372E-3</v>
      </c>
      <c r="V261" s="3">
        <v>-8.4032979934704401E-3</v>
      </c>
      <c r="W261" s="3">
        <v>7.4748952518178451E-4</v>
      </c>
      <c r="X261" s="3">
        <v>4.1677408075722301E-3</v>
      </c>
      <c r="Y261" s="3">
        <v>-1.1990289001066724E-2</v>
      </c>
      <c r="Z261" s="3">
        <v>-7.6433121019107786E-3</v>
      </c>
      <c r="AA261" s="3">
        <v>1.892983898087354E-2</v>
      </c>
      <c r="AB261" s="3">
        <v>-1.2376910702428443E-2</v>
      </c>
      <c r="AC261" s="3">
        <v>1.5534383012459418E-2</v>
      </c>
      <c r="AD261" s="3">
        <v>1.6404195731619976E-2</v>
      </c>
      <c r="AE261" s="3">
        <v>1.1464225664466119E-4</v>
      </c>
      <c r="AF261" s="3">
        <v>1.6250704515063198E-2</v>
      </c>
      <c r="AG261" s="3">
        <v>8.8832914079227283E-3</v>
      </c>
      <c r="AH261" s="3">
        <v>2.3550656087563848E-2</v>
      </c>
      <c r="AI261" s="3">
        <v>3.6342761685164821E-3</v>
      </c>
      <c r="AJ261" s="3">
        <v>-2.410583343583609E-3</v>
      </c>
      <c r="AK261" s="3">
        <v>0.15983606557377056</v>
      </c>
      <c r="AL261" s="3">
        <v>-1.2746865873802422E-2</v>
      </c>
      <c r="AM261" s="3">
        <v>2.9859066103762226E-3</v>
      </c>
      <c r="AN261" s="3">
        <v>-1.0734561509624253E-2</v>
      </c>
    </row>
    <row r="262" spans="1:40" x14ac:dyDescent="0.3">
      <c r="A262" s="101">
        <v>44691</v>
      </c>
      <c r="B262" s="3">
        <v>1.339380083755525E-2</v>
      </c>
      <c r="C262" s="3">
        <v>-9.6034157126734642E-3</v>
      </c>
      <c r="D262" s="3">
        <v>-4.1962344186135129E-3</v>
      </c>
      <c r="E262" s="3">
        <v>3.7575524926917033E-3</v>
      </c>
      <c r="F262" s="3">
        <v>1.6207277483839206E-3</v>
      </c>
      <c r="G262" s="3">
        <v>-6.0549943028404253E-2</v>
      </c>
      <c r="H262" s="3">
        <v>-5.2750334369052918E-4</v>
      </c>
      <c r="I262" s="3">
        <v>-3.2388671524069448E-2</v>
      </c>
      <c r="J262" s="3">
        <v>5.1275242773047569E-3</v>
      </c>
      <c r="K262" s="3">
        <v>-4.1962344186135129E-3</v>
      </c>
      <c r="L262" s="3">
        <v>-1.196136133017152E-3</v>
      </c>
      <c r="M262" s="3">
        <v>5.7034241656104628E-2</v>
      </c>
      <c r="N262" s="3">
        <v>-2.2102158669321608E-3</v>
      </c>
      <c r="O262" s="3">
        <v>-9.6034157126734642E-3</v>
      </c>
      <c r="P262" s="3">
        <v>1.045920447389154E-3</v>
      </c>
      <c r="Q262" s="3">
        <v>-6.0883243951733793E-3</v>
      </c>
      <c r="R262" s="3">
        <v>-2.0692238623662703E-2</v>
      </c>
      <c r="S262" s="3">
        <v>0</v>
      </c>
      <c r="T262" s="3">
        <v>3.5054378964797231E-3</v>
      </c>
      <c r="U262" s="3">
        <v>6.2286835272327137E-3</v>
      </c>
      <c r="V262" s="3">
        <v>-2.4212890958353068E-3</v>
      </c>
      <c r="W262" s="3">
        <v>8.2151983043334646E-3</v>
      </c>
      <c r="X262" s="3">
        <v>-3.8737964547260525E-3</v>
      </c>
      <c r="Y262" s="3">
        <v>-5.6413332347491657E-2</v>
      </c>
      <c r="Z262" s="3">
        <v>-1.1553273427471098E-2</v>
      </c>
      <c r="AA262" s="3">
        <v>-8.924520601584501E-3</v>
      </c>
      <c r="AB262" s="3">
        <v>-5.3479601400952736E-3</v>
      </c>
      <c r="AC262" s="3">
        <v>-1.208110894064616E-2</v>
      </c>
      <c r="AD262" s="3">
        <v>9.0381368039065477E-3</v>
      </c>
      <c r="AE262" s="3">
        <v>-6.6470160348594369E-3</v>
      </c>
      <c r="AF262" s="3">
        <v>-1.6917796179909614E-2</v>
      </c>
      <c r="AG262" s="3">
        <v>1.6771069182389148E-3</v>
      </c>
      <c r="AH262" s="3">
        <v>0</v>
      </c>
      <c r="AI262" s="3">
        <v>6.090166588411731E-3</v>
      </c>
      <c r="AJ262" s="3">
        <v>1.2839855834365927E-3</v>
      </c>
      <c r="AK262" s="3">
        <v>7.0671378091872851E-3</v>
      </c>
      <c r="AL262" s="3">
        <v>3.7668853401854521E-3</v>
      </c>
      <c r="AM262" s="3">
        <v>-2.0838864590526818E-3</v>
      </c>
      <c r="AN262" s="3">
        <v>-2.1794305163354457E-3</v>
      </c>
    </row>
    <row r="263" spans="1:40" x14ac:dyDescent="0.3">
      <c r="A263" s="101">
        <v>44692</v>
      </c>
      <c r="B263" s="3">
        <v>8.9687726054054149E-3</v>
      </c>
      <c r="C263" s="3">
        <v>7.8980642958566133E-3</v>
      </c>
      <c r="D263" s="3">
        <v>6.8900655780917562E-4</v>
      </c>
      <c r="E263" s="3">
        <v>-3.3320858101651063E-3</v>
      </c>
      <c r="F263" s="3">
        <v>5.1779923716883607E-2</v>
      </c>
      <c r="G263" s="3">
        <v>5.9033022751632774E-2</v>
      </c>
      <c r="H263" s="3">
        <v>4.0111413024972254E-3</v>
      </c>
      <c r="I263" s="3">
        <v>4.6025110341743364E-2</v>
      </c>
      <c r="J263" s="3">
        <v>-1.9751278868329156E-2</v>
      </c>
      <c r="K263" s="3">
        <v>6.8900655780917562E-4</v>
      </c>
      <c r="L263" s="3">
        <v>3.7575524926917033E-3</v>
      </c>
      <c r="M263" s="3">
        <v>-2.3781034696621954E-2</v>
      </c>
      <c r="N263" s="3">
        <v>8.8601989570387678E-4</v>
      </c>
      <c r="O263" s="3">
        <v>7.8980642958566133E-3</v>
      </c>
      <c r="P263" s="3">
        <v>9.4044414526876802E-3</v>
      </c>
      <c r="Q263" s="3">
        <v>1.8376759520756403E-2</v>
      </c>
      <c r="R263" s="3">
        <v>2.0196904298684774E-3</v>
      </c>
      <c r="S263" s="3">
        <v>-1.585053137937043E-3</v>
      </c>
      <c r="T263" s="3">
        <v>0</v>
      </c>
      <c r="U263" s="3">
        <v>4.5926235487216988E-3</v>
      </c>
      <c r="V263" s="3">
        <v>6.0679149222268398E-3</v>
      </c>
      <c r="W263" s="3">
        <v>2.4690159801708435E-3</v>
      </c>
      <c r="X263" s="3">
        <v>-1.1111166666666684E-2</v>
      </c>
      <c r="Y263" s="3">
        <v>9.4231186734129602E-3</v>
      </c>
      <c r="Z263" s="3">
        <v>-6.4935064935064705E-3</v>
      </c>
      <c r="AA263" s="3">
        <v>-2.1112664814909856E-3</v>
      </c>
      <c r="AB263" s="3">
        <v>-2.648273399691951E-3</v>
      </c>
      <c r="AC263" s="3">
        <v>1.2167857713483677E-3</v>
      </c>
      <c r="AD263" s="3">
        <v>-4.1587040695882553E-3</v>
      </c>
      <c r="AE263" s="3">
        <v>2.884254927629126E-3</v>
      </c>
      <c r="AF263" s="3">
        <v>4.2433048913735954E-3</v>
      </c>
      <c r="AG263" s="3">
        <v>-1.6743366125716502E-2</v>
      </c>
      <c r="AH263" s="3">
        <v>-1.8584048933018672E-2</v>
      </c>
      <c r="AI263" s="3">
        <v>-3.7628550696287913E-3</v>
      </c>
      <c r="AJ263" s="3">
        <v>-1.428970059869801E-2</v>
      </c>
      <c r="AK263" s="3">
        <v>-4.9122807017543901E-2</v>
      </c>
      <c r="AL263" s="3">
        <v>7.5676987285981127E-3</v>
      </c>
      <c r="AM263" s="3">
        <v>-7.4183310094004737E-3</v>
      </c>
      <c r="AN263" s="3">
        <v>-1.3714129440922662E-3</v>
      </c>
    </row>
    <row r="264" spans="1:40" x14ac:dyDescent="0.3">
      <c r="A264" s="101">
        <v>44693</v>
      </c>
      <c r="B264" s="3">
        <v>1.076010957972234E-2</v>
      </c>
      <c r="C264" s="3">
        <v>2.5525528375723978E-2</v>
      </c>
      <c r="D264" s="3">
        <v>2.6600345893406244E-3</v>
      </c>
      <c r="E264" s="3">
        <v>-4.8703236837643561E-3</v>
      </c>
      <c r="F264" s="3">
        <v>-2.6922971127655731E-3</v>
      </c>
      <c r="G264" s="3">
        <v>-1.2391202431046333E-2</v>
      </c>
      <c r="H264" s="3">
        <v>-1.8110289628976127E-3</v>
      </c>
      <c r="I264" s="3">
        <v>4.3999800351090957E-3</v>
      </c>
      <c r="J264" s="3">
        <v>1.147589904863686E-2</v>
      </c>
      <c r="K264" s="3">
        <v>2.6600345893406244E-3</v>
      </c>
      <c r="L264" s="3">
        <v>-3.3320858101651063E-3</v>
      </c>
      <c r="M264" s="3">
        <v>-1.576245714482934E-2</v>
      </c>
      <c r="N264" s="3">
        <v>4.4276232480410638E-4</v>
      </c>
      <c r="O264" s="3">
        <v>2.5525528375723978E-2</v>
      </c>
      <c r="P264" s="3">
        <v>4.6583850931676942E-3</v>
      </c>
      <c r="Q264" s="3">
        <v>-1.6541401464663454E-2</v>
      </c>
      <c r="R264" s="3">
        <v>0</v>
      </c>
      <c r="S264" s="3">
        <v>0</v>
      </c>
      <c r="T264" s="3">
        <v>1.2384821894130017E-2</v>
      </c>
      <c r="U264" s="3">
        <v>2.0473009104743201E-2</v>
      </c>
      <c r="V264" s="3">
        <v>8.4439440359396524E-3</v>
      </c>
      <c r="W264" s="3">
        <v>2.864178250348615E-2</v>
      </c>
      <c r="X264" s="3">
        <v>1.9382107830455419E-2</v>
      </c>
      <c r="Y264" s="3">
        <v>1.7598140047855291E-2</v>
      </c>
      <c r="Z264" s="3">
        <v>2.6143790849672646E-3</v>
      </c>
      <c r="AA264" s="3">
        <v>-3.0100954643402955E-2</v>
      </c>
      <c r="AB264" s="3">
        <v>6.2760904924788691E-3</v>
      </c>
      <c r="AC264" s="3">
        <v>6.0732840204008697E-5</v>
      </c>
      <c r="AD264" s="3">
        <v>3.7905611246649706E-2</v>
      </c>
      <c r="AE264" s="3">
        <v>-2.1483423523484618E-2</v>
      </c>
      <c r="AF264" s="3">
        <v>-4.6930966879781861E-4</v>
      </c>
      <c r="AG264" s="3">
        <v>0</v>
      </c>
      <c r="AH264" s="3">
        <v>4.0577152080134966E-2</v>
      </c>
      <c r="AI264" s="3">
        <v>-2.7369987010478938E-3</v>
      </c>
      <c r="AJ264" s="3">
        <v>-2.5276852711636788E-3</v>
      </c>
      <c r="AK264" s="3">
        <v>-7.3800738007380141E-3</v>
      </c>
      <c r="AL264" s="3">
        <v>-3.5105460631855915E-3</v>
      </c>
      <c r="AM264" s="3">
        <v>3.2059590480024717E-4</v>
      </c>
      <c r="AN264" s="3">
        <v>4.7659610322949445E-3</v>
      </c>
    </row>
    <row r="265" spans="1:40" x14ac:dyDescent="0.3">
      <c r="A265" s="101">
        <v>44694</v>
      </c>
      <c r="B265" s="3">
        <v>-4.1657121407798238E-3</v>
      </c>
      <c r="C265" s="3">
        <v>-3.7808309521984251E-4</v>
      </c>
      <c r="D265" s="3">
        <v>4.488846860323142E-3</v>
      </c>
      <c r="E265" s="3">
        <v>-1.6591750478358971E-3</v>
      </c>
      <c r="F265" s="3">
        <v>-3.4709018854603493E-3</v>
      </c>
      <c r="G265" s="3">
        <v>6.2067392856379675E-2</v>
      </c>
      <c r="H265" s="3">
        <v>2.5549900450520754E-3</v>
      </c>
      <c r="I265" s="3">
        <v>-5.6152925658327683E-2</v>
      </c>
      <c r="J265" s="3">
        <v>-6.9922813301606171E-3</v>
      </c>
      <c r="K265" s="3">
        <v>4.488846860323142E-3</v>
      </c>
      <c r="L265" s="3">
        <v>-4.8703236837643561E-3</v>
      </c>
      <c r="M265" s="3">
        <v>1.7262852859282248E-2</v>
      </c>
      <c r="N265" s="3">
        <v>1.7608989864235165E-2</v>
      </c>
      <c r="O265" s="3">
        <v>-3.7808309521984251E-4</v>
      </c>
      <c r="P265" s="3">
        <v>-1.700154559505419E-2</v>
      </c>
      <c r="Q265" s="3">
        <v>-3.8225975011706168E-3</v>
      </c>
      <c r="R265" s="3">
        <v>1.7056007248062678E-3</v>
      </c>
      <c r="S265" s="3">
        <v>0</v>
      </c>
      <c r="T265" s="3">
        <v>4.3914909030031285E-3</v>
      </c>
      <c r="U265" s="3">
        <v>7.7132835985263548E-2</v>
      </c>
      <c r="V265" s="3">
        <v>2.5119623721572032E-2</v>
      </c>
      <c r="W265" s="3">
        <v>-7.4851200382538251E-3</v>
      </c>
      <c r="X265" s="3">
        <v>-7.9912094794375079E-3</v>
      </c>
      <c r="Y265" s="3">
        <v>-1.3140736215945853E-2</v>
      </c>
      <c r="Z265" s="3">
        <v>2.6075619295958881E-3</v>
      </c>
      <c r="AA265" s="3">
        <v>-5.3344761810423955E-2</v>
      </c>
      <c r="AB265" s="3">
        <v>-1.2154060850175495E-2</v>
      </c>
      <c r="AC265" s="3">
        <v>-9.4485342752277084E-3</v>
      </c>
      <c r="AD265" s="3">
        <v>2.3212588739883314E-2</v>
      </c>
      <c r="AE265" s="3">
        <v>-4.8318841062745137E-2</v>
      </c>
      <c r="AF265" s="3">
        <v>-2.3485404981437186E-2</v>
      </c>
      <c r="AG265" s="3">
        <v>4.2571306939123638E-3</v>
      </c>
      <c r="AH265" s="3">
        <v>0</v>
      </c>
      <c r="AI265" s="3">
        <v>-1.042839066412421E-3</v>
      </c>
      <c r="AJ265" s="3">
        <v>0</v>
      </c>
      <c r="AK265" s="3">
        <v>-1.4869888475836444E-2</v>
      </c>
      <c r="AL265" s="3">
        <v>-6.8848210809616542E-3</v>
      </c>
      <c r="AM265" s="3">
        <v>-1.9649862183516095E-2</v>
      </c>
      <c r="AN265" s="3">
        <v>-1.4526941033760645E-2</v>
      </c>
    </row>
    <row r="266" spans="1:40" x14ac:dyDescent="0.3">
      <c r="A266" s="101">
        <v>44697</v>
      </c>
      <c r="B266" s="3">
        <v>2.045085350923535E-2</v>
      </c>
      <c r="C266" s="3">
        <v>1.5060694886313833E-2</v>
      </c>
      <c r="D266" s="3">
        <v>7.4266670376536194E-3</v>
      </c>
      <c r="E266" s="3">
        <v>-2.4095991345535282E-3</v>
      </c>
      <c r="F266" s="3">
        <v>-3.491081444128992E-2</v>
      </c>
      <c r="G266" s="3">
        <v>-2.4637497287905884E-2</v>
      </c>
      <c r="H266" s="3">
        <v>-8.7773402286856091E-4</v>
      </c>
      <c r="I266" s="3">
        <v>2.362866772514265E-2</v>
      </c>
      <c r="J266" s="3">
        <v>3.1886810135931293E-3</v>
      </c>
      <c r="K266" s="3">
        <v>7.4266670376536194E-3</v>
      </c>
      <c r="L266" s="3">
        <v>-1.6591750478358971E-3</v>
      </c>
      <c r="M266" s="3">
        <v>3.2917603762011992E-2</v>
      </c>
      <c r="N266" s="3">
        <v>3.5652949922977818E-3</v>
      </c>
      <c r="O266" s="3">
        <v>1.5060694886313833E-2</v>
      </c>
      <c r="P266" s="3">
        <v>1.886797693920338E-2</v>
      </c>
      <c r="Q266" s="3">
        <v>-8.5736951489186856E-3</v>
      </c>
      <c r="R266" s="3">
        <v>0</v>
      </c>
      <c r="S266" s="3">
        <v>0</v>
      </c>
      <c r="T266" s="3">
        <v>-7.8075999331121285E-3</v>
      </c>
      <c r="U266" s="3">
        <v>1.2658266504608233E-2</v>
      </c>
      <c r="V266" s="3">
        <v>-8.1680622094922623E-3</v>
      </c>
      <c r="W266" s="3">
        <v>1.9105119017721942E-2</v>
      </c>
      <c r="X266" s="3">
        <v>-2.0833333333333332E-2</v>
      </c>
      <c r="Y266" s="3">
        <v>4.836310320619543E-3</v>
      </c>
      <c r="Z266" s="3">
        <v>-1.3003901170351174E-2</v>
      </c>
      <c r="AA266" s="3">
        <v>4.5754466177627115E-2</v>
      </c>
      <c r="AB266" s="3">
        <v>1.9022150870342466E-2</v>
      </c>
      <c r="AC266" s="3">
        <v>1.3219227337219249E-2</v>
      </c>
      <c r="AD266" s="3">
        <v>4.2347627359651547E-3</v>
      </c>
      <c r="AE266" s="3">
        <v>1.0253264740701696E-2</v>
      </c>
      <c r="AF266" s="3">
        <v>2.8861221579562801E-3</v>
      </c>
      <c r="AG266" s="3">
        <v>7.6303518440016833E-3</v>
      </c>
      <c r="AH266" s="3">
        <v>-3.0329339102453334E-2</v>
      </c>
      <c r="AI266" s="3">
        <v>-4.6157117295632585E-3</v>
      </c>
      <c r="AJ266" s="3">
        <v>-3.2049964148615695E-3</v>
      </c>
      <c r="AK266" s="3">
        <v>2.2641509433962283E-2</v>
      </c>
      <c r="AL266" s="3">
        <v>1.9608152836494565E-2</v>
      </c>
      <c r="AM266" s="3">
        <v>1.0849349398168071E-2</v>
      </c>
      <c r="AN266" s="3">
        <v>6.0276625185736593E-3</v>
      </c>
    </row>
    <row r="267" spans="1:40" x14ac:dyDescent="0.3">
      <c r="A267" s="101">
        <v>44698</v>
      </c>
      <c r="B267" s="3">
        <v>-6.6044165738592172E-3</v>
      </c>
      <c r="C267" s="3">
        <v>-5.1444897394682543E-3</v>
      </c>
      <c r="D267" s="3">
        <v>-3.9291794195082399E-4</v>
      </c>
      <c r="E267" s="3">
        <v>-4.1641915806774527E-4</v>
      </c>
      <c r="F267" s="3">
        <v>1.2058282509533915E-3</v>
      </c>
      <c r="G267" s="3">
        <v>1.9900588450788417E-2</v>
      </c>
      <c r="H267" s="3">
        <v>-2.5914204986788062E-3</v>
      </c>
      <c r="I267" s="3">
        <v>6.18305861870463E-3</v>
      </c>
      <c r="J267" s="3">
        <v>2.251420146639069E-3</v>
      </c>
      <c r="K267" s="3">
        <v>-3.9291794195082399E-4</v>
      </c>
      <c r="L267" s="3">
        <v>-2.4095991345535282E-3</v>
      </c>
      <c r="M267" s="3">
        <v>-2.5732581155977837E-3</v>
      </c>
      <c r="N267" s="3">
        <v>-1.2390671563009843E-2</v>
      </c>
      <c r="O267" s="3">
        <v>-5.1444897394682543E-3</v>
      </c>
      <c r="P267" s="3">
        <v>-1.0288116754726521E-2</v>
      </c>
      <c r="Q267" s="3">
        <v>-1.7295579161195947E-2</v>
      </c>
      <c r="R267" s="3">
        <v>2.3527508889153826E-2</v>
      </c>
      <c r="S267" s="3">
        <v>0</v>
      </c>
      <c r="T267" s="3">
        <v>4.7214165826691299E-3</v>
      </c>
      <c r="U267" s="3">
        <v>4.1071178371004718E-3</v>
      </c>
      <c r="V267" s="3">
        <v>-1.76470222229827E-2</v>
      </c>
      <c r="W267" s="3">
        <v>-3.5027183004642581E-2</v>
      </c>
      <c r="X267" s="3">
        <v>1.4184113475177215E-3</v>
      </c>
      <c r="Y267" s="3">
        <v>-2.8128516767808896E-2</v>
      </c>
      <c r="Z267" s="3">
        <v>5.2700922266139703E-3</v>
      </c>
      <c r="AA267" s="3">
        <v>1.0149434904767706E-2</v>
      </c>
      <c r="AB267" s="3">
        <v>7.9521447882806024E-5</v>
      </c>
      <c r="AC267" s="3">
        <v>1.8858728278636716E-2</v>
      </c>
      <c r="AD267" s="3">
        <v>-1.0240943337252293E-2</v>
      </c>
      <c r="AE267" s="3">
        <v>4.2614340954608997E-2</v>
      </c>
      <c r="AF267" s="3">
        <v>9.593150685637317E-4</v>
      </c>
      <c r="AG267" s="3">
        <v>-8.4139671855277967E-4</v>
      </c>
      <c r="AH267" s="3">
        <v>3.8427185531431797E-2</v>
      </c>
      <c r="AI267" s="3">
        <v>1.6008945208982892E-3</v>
      </c>
      <c r="AJ267" s="3">
        <v>1.5702291841620513E-3</v>
      </c>
      <c r="AK267" s="3">
        <v>6.2730627306273032E-2</v>
      </c>
      <c r="AL267" s="3">
        <v>5.8447810351285566E-3</v>
      </c>
      <c r="AM267" s="3">
        <v>-1.6167280110096334E-4</v>
      </c>
      <c r="AN267" s="3">
        <v>-2.5606975640879615E-3</v>
      </c>
    </row>
    <row r="268" spans="1:40" x14ac:dyDescent="0.3">
      <c r="A268" s="101">
        <v>44699</v>
      </c>
      <c r="B268" s="3">
        <v>-9.169308215807502E-4</v>
      </c>
      <c r="C268" s="3">
        <v>-2.9977771378525577E-4</v>
      </c>
      <c r="D268" s="3">
        <v>1.5010623141918983E-4</v>
      </c>
      <c r="E268" s="3">
        <v>5.6662369083657349E-3</v>
      </c>
      <c r="F268" s="3">
        <v>-2.9706944874864288E-2</v>
      </c>
      <c r="G268" s="3">
        <v>-2.6973622373581926E-3</v>
      </c>
      <c r="H268" s="3">
        <v>1.9112070871095401E-3</v>
      </c>
      <c r="I268" s="3">
        <v>-4.0970446424671707E-4</v>
      </c>
      <c r="J268" s="3">
        <v>2.3783455570127827E-3</v>
      </c>
      <c r="K268" s="3">
        <v>1.5010623141918983E-4</v>
      </c>
      <c r="L268" s="3">
        <v>-4.1641915806774527E-4</v>
      </c>
      <c r="M268" s="3">
        <v>-3.4530601995050689E-2</v>
      </c>
      <c r="N268" s="3">
        <v>-1.6669469622501425E-3</v>
      </c>
      <c r="O268" s="3">
        <v>-2.9977771378525577E-4</v>
      </c>
      <c r="P268" s="3">
        <v>5.1975051975060099E-4</v>
      </c>
      <c r="Q268" s="3">
        <v>-1.280000547956602E-2</v>
      </c>
      <c r="R268" s="3">
        <v>-6.979207789775474E-2</v>
      </c>
      <c r="S268" s="3">
        <v>-9.5796536767341241E-3</v>
      </c>
      <c r="T268" s="3">
        <v>-5.9523869797697831E-3</v>
      </c>
      <c r="U268" s="3">
        <v>2.9877308611485309E-2</v>
      </c>
      <c r="V268" s="3">
        <v>-5.9880772874265223E-3</v>
      </c>
      <c r="W268" s="3">
        <v>7.157696468070825E-3</v>
      </c>
      <c r="X268" s="3">
        <v>-2.8322946977995834E-4</v>
      </c>
      <c r="Y268" s="3">
        <v>2.6370144748395093E-3</v>
      </c>
      <c r="Z268" s="3">
        <v>-3.9318479685452488E-3</v>
      </c>
      <c r="AA268" s="3">
        <v>-2.5449208377647877E-3</v>
      </c>
      <c r="AB268" s="3">
        <v>6.6718292433951181E-3</v>
      </c>
      <c r="AC268" s="3">
        <v>-8.6160618931867515E-3</v>
      </c>
      <c r="AD268" s="3">
        <v>3.0429465177835799E-4</v>
      </c>
      <c r="AE268" s="3">
        <v>-2.7267724314008366E-3</v>
      </c>
      <c r="AF268" s="3">
        <v>-1.437580632333202E-3</v>
      </c>
      <c r="AG268" s="3">
        <v>1.2631999999999416E-3</v>
      </c>
      <c r="AH268" s="3">
        <v>-4.0447591800679007E-2</v>
      </c>
      <c r="AI268" s="3">
        <v>-5.6217511460710879E-3</v>
      </c>
      <c r="AJ268" s="3">
        <v>-4.4793300904646602E-3</v>
      </c>
      <c r="AK268" s="3">
        <v>3.8194444444444559E-2</v>
      </c>
      <c r="AL268" s="3">
        <v>6.7962241474452912E-3</v>
      </c>
      <c r="AM268" s="3">
        <v>-4.5889883589618242E-3</v>
      </c>
      <c r="AN268" s="3">
        <v>2.0669154017701311E-2</v>
      </c>
    </row>
    <row r="269" spans="1:40" x14ac:dyDescent="0.3">
      <c r="A269" s="101">
        <v>44700</v>
      </c>
      <c r="B269" s="3">
        <v>-1.5144659480879886E-2</v>
      </c>
      <c r="C269" s="3">
        <v>-8.3215996934214598E-3</v>
      </c>
      <c r="D269" s="3">
        <v>-2.7936496651959374E-3</v>
      </c>
      <c r="E269" s="3">
        <v>-1.6115703265542909E-2</v>
      </c>
      <c r="F269" s="3">
        <v>-9.5159506841940283E-3</v>
      </c>
      <c r="G269" s="3">
        <v>-4.7068600603683477E-3</v>
      </c>
      <c r="H269" s="3">
        <v>-6.5610606312602703E-3</v>
      </c>
      <c r="I269" s="3">
        <v>2.0491772132951665E-2</v>
      </c>
      <c r="J269" s="3">
        <v>-7.9086443523766368E-4</v>
      </c>
      <c r="K269" s="3">
        <v>-2.7936496651959374E-3</v>
      </c>
      <c r="L269" s="3">
        <v>5.6662369083657349E-3</v>
      </c>
      <c r="M269" s="3">
        <v>2.4049289864366288E-2</v>
      </c>
      <c r="N269" s="3">
        <v>6.0638070849449019E-3</v>
      </c>
      <c r="O269" s="3">
        <v>-8.3215996934214598E-3</v>
      </c>
      <c r="P269" s="3">
        <v>-4.6753246753246679E-2</v>
      </c>
      <c r="Q269" s="3">
        <v>-1.9448953714704335E-2</v>
      </c>
      <c r="R269" s="3">
        <v>8.1392222813858776E-5</v>
      </c>
      <c r="S269" s="3">
        <v>3.8275216552264937E-3</v>
      </c>
      <c r="T269" s="3">
        <v>1.6073225446119509E-2</v>
      </c>
      <c r="U269" s="3">
        <v>-5.1805803412986371E-4</v>
      </c>
      <c r="V269" s="3">
        <v>-1.4457821482598455E-2</v>
      </c>
      <c r="W269" s="3">
        <v>-6.0915152648730935E-3</v>
      </c>
      <c r="X269" s="3">
        <v>2.7203144596113882E-2</v>
      </c>
      <c r="Y269" s="3">
        <v>1.7768971824805756E-2</v>
      </c>
      <c r="Z269" s="3">
        <v>2.6315789473684237E-2</v>
      </c>
      <c r="AA269" s="3">
        <v>-7.9689837412867549E-3</v>
      </c>
      <c r="AB269" s="3">
        <v>3.0771683770198315E-3</v>
      </c>
      <c r="AC269" s="3">
        <v>-1.0279288755559356E-2</v>
      </c>
      <c r="AD269" s="3">
        <v>-1.2168083388434574E-3</v>
      </c>
      <c r="AE269" s="3">
        <v>-1.440596221435911E-3</v>
      </c>
      <c r="AF269" s="3">
        <v>1.3675517779989807E-2</v>
      </c>
      <c r="AG269" s="3">
        <v>8.4095875353415971E-4</v>
      </c>
      <c r="AH269" s="3">
        <v>8.9692477362114643E-4</v>
      </c>
      <c r="AI269" s="3">
        <v>-8.2584824909684561E-3</v>
      </c>
      <c r="AJ269" s="3">
        <v>-1.1323541248930473E-2</v>
      </c>
      <c r="AK269" s="3">
        <v>-3.3444816053511732E-2</v>
      </c>
      <c r="AL269" s="3">
        <v>3.4436070895365067E-3</v>
      </c>
      <c r="AM269" s="3">
        <v>-1.3363424926478247E-2</v>
      </c>
      <c r="AN269" s="3">
        <v>5.2203508699047909E-3</v>
      </c>
    </row>
    <row r="270" spans="1:40" x14ac:dyDescent="0.3">
      <c r="A270" s="101">
        <v>44701</v>
      </c>
      <c r="B270" s="3">
        <v>-1.8406205083937064E-2</v>
      </c>
      <c r="C270" s="3">
        <v>-1.3056846196274704E-2</v>
      </c>
      <c r="D270" s="3">
        <v>-2.8014760077067582E-3</v>
      </c>
      <c r="E270" s="3">
        <v>-1.1369337835480295E-3</v>
      </c>
      <c r="F270" s="3">
        <v>-1.5455305201709442E-2</v>
      </c>
      <c r="G270" s="3">
        <v>-4.1009333876633185E-2</v>
      </c>
      <c r="H270" s="3">
        <v>9.6691312131866867E-4</v>
      </c>
      <c r="I270" s="3">
        <v>1.8875570993479768E-2</v>
      </c>
      <c r="J270" s="3">
        <v>3.5620344798600319E-3</v>
      </c>
      <c r="K270" s="3">
        <v>-2.8014760077067582E-3</v>
      </c>
      <c r="L270" s="3">
        <v>-1.6115703265542909E-2</v>
      </c>
      <c r="M270" s="3">
        <v>-1.665993576876763E-2</v>
      </c>
      <c r="N270" s="3">
        <v>9.6085955828225239E-3</v>
      </c>
      <c r="O270" s="3">
        <v>-1.3056846196274704E-2</v>
      </c>
      <c r="P270" s="3">
        <v>2.5068065395095356E-2</v>
      </c>
      <c r="Q270" s="3">
        <v>-1.9008258943087504E-2</v>
      </c>
      <c r="R270" s="3">
        <v>3.2268464939341511E-2</v>
      </c>
      <c r="S270" s="3">
        <v>-1.3064762647127164E-3</v>
      </c>
      <c r="T270" s="3">
        <v>2.8846043288442383E-2</v>
      </c>
      <c r="U270" s="3">
        <v>6.9108460500413409E-3</v>
      </c>
      <c r="V270" s="3">
        <v>4.8899384999299446E-3</v>
      </c>
      <c r="W270" s="3">
        <v>3.2686348821234633E-2</v>
      </c>
      <c r="X270" s="3">
        <v>2.0689655172413793E-2</v>
      </c>
      <c r="Y270" s="3">
        <v>1.6954506064427059E-2</v>
      </c>
      <c r="Z270" s="3">
        <v>1.2820512820512547E-3</v>
      </c>
      <c r="AA270" s="3">
        <v>1.8938502847224307E-2</v>
      </c>
      <c r="AB270" s="3">
        <v>-8.0231679977070709E-3</v>
      </c>
      <c r="AC270" s="3">
        <v>6.6918728236184779E-3</v>
      </c>
      <c r="AD270" s="3">
        <v>-2.7414713858190695E-3</v>
      </c>
      <c r="AE270" s="3">
        <v>2.4054830524018207E-2</v>
      </c>
      <c r="AF270" s="3">
        <v>-1.7514813698867017E-2</v>
      </c>
      <c r="AG270" s="3">
        <v>1.5126093072524939E-2</v>
      </c>
      <c r="AH270" s="3">
        <v>0</v>
      </c>
      <c r="AI270" s="3">
        <v>3.9125648915206508E-4</v>
      </c>
      <c r="AJ270" s="3">
        <v>-6.5230453857901124E-3</v>
      </c>
      <c r="AK270" s="3">
        <v>-1.7301038062283829E-2</v>
      </c>
      <c r="AL270" s="3">
        <v>1.2121714698563059E-2</v>
      </c>
      <c r="AM270" s="3">
        <v>3.0052716206141199E-3</v>
      </c>
      <c r="AN270" s="3">
        <v>2.0876845644875925E-2</v>
      </c>
    </row>
    <row r="271" spans="1:40" x14ac:dyDescent="0.3">
      <c r="A271" s="101">
        <v>44704</v>
      </c>
      <c r="B271" s="3">
        <v>9.4943338185917263E-3</v>
      </c>
      <c r="C271" s="3">
        <v>1.3306718290419847E-2</v>
      </c>
      <c r="D271" s="3">
        <v>-5.1014562627312273E-3</v>
      </c>
      <c r="E271" s="3">
        <v>-7.9672379048883833E-3</v>
      </c>
      <c r="F271" s="3">
        <v>-1.3576564938471307E-2</v>
      </c>
      <c r="G271" s="3">
        <v>1.39835124799669E-3</v>
      </c>
      <c r="H271" s="3">
        <v>2.3722808370907947E-3</v>
      </c>
      <c r="I271" s="3">
        <v>1.1430746244548524E-2</v>
      </c>
      <c r="J271" s="3">
        <v>-1.4329062435493121E-2</v>
      </c>
      <c r="K271" s="3">
        <v>-5.1014562627312273E-3</v>
      </c>
      <c r="L271" s="3">
        <v>-1.1369337835480295E-3</v>
      </c>
      <c r="M271" s="3">
        <v>-1.6330270817298672E-3</v>
      </c>
      <c r="N271" s="3">
        <v>-6.055676890077469E-4</v>
      </c>
      <c r="O271" s="3">
        <v>1.3306718290419847E-2</v>
      </c>
      <c r="P271" s="3">
        <v>-2.8708082334294734E-2</v>
      </c>
      <c r="Q271" s="3">
        <v>5.0547358957472458E-3</v>
      </c>
      <c r="R271" s="3">
        <v>1.3779563985244971E-2</v>
      </c>
      <c r="S271" s="3">
        <v>-1.9219032441963279E-3</v>
      </c>
      <c r="T271" s="3">
        <v>4.0096483136036289E-2</v>
      </c>
      <c r="U271" s="3">
        <v>5.1476906758977448E-4</v>
      </c>
      <c r="V271" s="3">
        <v>2.4331722044978335E-3</v>
      </c>
      <c r="W271" s="3">
        <v>-2.4727940157088742E-2</v>
      </c>
      <c r="X271" s="3">
        <v>1.0540513513513598E-2</v>
      </c>
      <c r="Y271" s="3">
        <v>-4.6482799634974909E-3</v>
      </c>
      <c r="Z271" s="3">
        <v>-1.664532650448142E-2</v>
      </c>
      <c r="AA271" s="3">
        <v>-3.7702090712113346E-4</v>
      </c>
      <c r="AB271" s="3">
        <v>9.8325782816269022E-3</v>
      </c>
      <c r="AC271" s="3">
        <v>-3.609399724732531E-3</v>
      </c>
      <c r="AD271" s="3">
        <v>1.2217320863523718E-2</v>
      </c>
      <c r="AE271" s="3">
        <v>-2.3863230061604407E-3</v>
      </c>
      <c r="AF271" s="3">
        <v>2.0236277878773194E-2</v>
      </c>
      <c r="AG271" s="3">
        <v>-7.8642798013244513E-3</v>
      </c>
      <c r="AH271" s="3">
        <v>3.5842121730341428E-3</v>
      </c>
      <c r="AI271" s="3">
        <v>1.3965879976477582E-3</v>
      </c>
      <c r="AJ271" s="3">
        <v>7.329431962829723E-3</v>
      </c>
      <c r="AK271" s="3">
        <v>3.1690140845070533E-2</v>
      </c>
      <c r="AL271" s="3">
        <v>-3.0417115634245174E-3</v>
      </c>
      <c r="AM271" s="3">
        <v>3.0783755081620675E-3</v>
      </c>
      <c r="AN271" s="3">
        <v>-8.4182527537883653E-4</v>
      </c>
    </row>
    <row r="272" spans="1:40" x14ac:dyDescent="0.3">
      <c r="A272" s="101">
        <v>44705</v>
      </c>
      <c r="B272" s="3">
        <v>1.7164379451230206E-2</v>
      </c>
      <c r="C272" s="3">
        <v>4.7820347359763217E-3</v>
      </c>
      <c r="D272" s="3">
        <v>-5.1493875204495429E-3</v>
      </c>
      <c r="E272" s="3">
        <v>7.3938174791745113E-3</v>
      </c>
      <c r="F272" s="3">
        <v>6.0214826349872042E-3</v>
      </c>
      <c r="G272" s="3">
        <v>1.234800700165424E-2</v>
      </c>
      <c r="H272" s="3">
        <v>-6.0886325094836567E-3</v>
      </c>
      <c r="I272" s="3">
        <v>2.533126528047934E-2</v>
      </c>
      <c r="J272" s="3">
        <v>1.0536098802183492E-2</v>
      </c>
      <c r="K272" s="3">
        <v>-5.1493875204495429E-3</v>
      </c>
      <c r="L272" s="3">
        <v>-7.9672379048883833E-3</v>
      </c>
      <c r="M272" s="3">
        <v>-2.3717031281946365E-2</v>
      </c>
      <c r="N272" s="3">
        <v>2.0777843848487679E-3</v>
      </c>
      <c r="O272" s="3">
        <v>4.7820347359763217E-3</v>
      </c>
      <c r="P272" s="3">
        <v>5.4740010946902236E-4</v>
      </c>
      <c r="Q272" s="3">
        <v>3.3529455530105271E-3</v>
      </c>
      <c r="R272" s="3">
        <v>2.5242758682524787E-2</v>
      </c>
      <c r="S272" s="3">
        <v>0</v>
      </c>
      <c r="T272" s="3">
        <v>-9.2753685986277923E-3</v>
      </c>
      <c r="U272" s="3">
        <v>-2.8983026494270363E-2</v>
      </c>
      <c r="V272" s="3">
        <v>-3.8834956318233284E-2</v>
      </c>
      <c r="W272" s="3">
        <v>7.6065826385395188E-3</v>
      </c>
      <c r="X272" s="3">
        <v>-2.8082348972515339E-2</v>
      </c>
      <c r="Y272" s="3">
        <v>2.6774158401961456E-3</v>
      </c>
      <c r="Z272" s="3">
        <v>2.6041666666667268E-3</v>
      </c>
      <c r="AA272" s="3">
        <v>1.2789221363552093E-2</v>
      </c>
      <c r="AB272" s="3">
        <v>2.4578088325201444E-2</v>
      </c>
      <c r="AC272" s="3">
        <v>1.6633396225520812E-2</v>
      </c>
      <c r="AD272" s="3">
        <v>-1.5992676185610365E-2</v>
      </c>
      <c r="AE272" s="3">
        <v>5.1530271004573816E-2</v>
      </c>
      <c r="AF272" s="3">
        <v>1.234856381283218E-2</v>
      </c>
      <c r="AG272" s="3">
        <v>-1.2515603359015562E-2</v>
      </c>
      <c r="AH272" s="3">
        <v>1.8750068298898057E-2</v>
      </c>
      <c r="AI272" s="3">
        <v>-3.2356472356813229E-3</v>
      </c>
      <c r="AJ272" s="3">
        <v>-4.3960563454330205E-3</v>
      </c>
      <c r="AK272" s="3">
        <v>-3.7542662116041063E-2</v>
      </c>
      <c r="AL272" s="3">
        <v>5.2148944827843796E-3</v>
      </c>
      <c r="AM272" s="3">
        <v>2.2751040878657539E-2</v>
      </c>
      <c r="AN272" s="3">
        <v>1.1067128730948984E-2</v>
      </c>
    </row>
    <row r="273" spans="1:40" x14ac:dyDescent="0.3">
      <c r="A273" s="101">
        <v>44706</v>
      </c>
      <c r="B273" s="3">
        <v>-3.2362640275658975E-3</v>
      </c>
      <c r="C273" s="3">
        <v>1.1860661054624241E-2</v>
      </c>
      <c r="D273" s="3">
        <v>2.7894143074734153E-3</v>
      </c>
      <c r="E273" s="3">
        <v>2.9738091324392313E-2</v>
      </c>
      <c r="F273" s="3">
        <v>1.4108648034400435E-2</v>
      </c>
      <c r="G273" s="3">
        <v>-2.9658449088254945E-2</v>
      </c>
      <c r="H273" s="3">
        <v>-6.1225049165051608E-3</v>
      </c>
      <c r="I273" s="3">
        <v>-2.7746072130784904E-2</v>
      </c>
      <c r="J273" s="3">
        <v>2.6131782872145563E-2</v>
      </c>
      <c r="K273" s="3">
        <v>2.7894143074734153E-3</v>
      </c>
      <c r="L273" s="3">
        <v>7.3938174791745113E-3</v>
      </c>
      <c r="M273" s="3">
        <v>-4.6073319371727754E-2</v>
      </c>
      <c r="N273" s="3">
        <v>4.6651399699172797E-3</v>
      </c>
      <c r="O273" s="3">
        <v>1.1860661054624241E-2</v>
      </c>
      <c r="P273" s="3">
        <v>7.6585882024844034E-3</v>
      </c>
      <c r="Q273" s="3">
        <v>1.0860448913263291E-2</v>
      </c>
      <c r="R273" s="3">
        <v>1.8939312375350709E-2</v>
      </c>
      <c r="S273" s="3">
        <v>0</v>
      </c>
      <c r="T273" s="3">
        <v>-1.1410183649191852E-2</v>
      </c>
      <c r="U273" s="3">
        <v>-5.4750537750981303E-3</v>
      </c>
      <c r="V273" s="3">
        <v>-1.515150409174299E-2</v>
      </c>
      <c r="W273" s="3">
        <v>4.438850354489586E-2</v>
      </c>
      <c r="X273" s="3">
        <v>3.219587231700604E-2</v>
      </c>
      <c r="Y273" s="3">
        <v>2.7945103570422302E-2</v>
      </c>
      <c r="Z273" s="3">
        <v>1.168831168831167E-2</v>
      </c>
      <c r="AA273" s="3">
        <v>-2.9675079684509966E-2</v>
      </c>
      <c r="AB273" s="3">
        <v>-6.4379347145260522E-3</v>
      </c>
      <c r="AC273" s="3">
        <v>-5.9355051379027663E-5</v>
      </c>
      <c r="AD273" s="3">
        <v>5.8264334428652564E-3</v>
      </c>
      <c r="AE273" s="3">
        <v>-6.8464564564404098E-2</v>
      </c>
      <c r="AF273" s="3">
        <v>-2.2519414411254778E-2</v>
      </c>
      <c r="AG273" s="3">
        <v>-1.267469370511287E-3</v>
      </c>
      <c r="AH273" s="3">
        <v>7.8878459071799936E-3</v>
      </c>
      <c r="AI273" s="3">
        <v>-3.9178225702525219E-3</v>
      </c>
      <c r="AJ273" s="3">
        <v>-8.1454440892754394E-3</v>
      </c>
      <c r="AK273" s="3">
        <v>-3.1914893617021226E-2</v>
      </c>
      <c r="AL273" s="3">
        <v>-2.5246929813068377E-3</v>
      </c>
      <c r="AM273" s="3">
        <v>-1.5983557903231999E-2</v>
      </c>
      <c r="AN273" s="3">
        <v>-2.1870225898811324E-4</v>
      </c>
    </row>
    <row r="274" spans="1:40" x14ac:dyDescent="0.3">
      <c r="A274" s="101">
        <v>44707</v>
      </c>
      <c r="B274" s="3">
        <v>-9.5083453868444415E-3</v>
      </c>
      <c r="C274" s="3">
        <v>-6.1967524862162355E-3</v>
      </c>
      <c r="D274" s="3">
        <v>2.6007313993370008E-3</v>
      </c>
      <c r="E274" s="3">
        <v>2.7855661832409426E-3</v>
      </c>
      <c r="F274" s="3">
        <v>4.4266438332319059E-2</v>
      </c>
      <c r="G274" s="3">
        <v>-3.2248392768352688E-2</v>
      </c>
      <c r="H274" s="3">
        <v>2.0580032886685826E-3</v>
      </c>
      <c r="I274" s="3">
        <v>1.6028165824775408E-2</v>
      </c>
      <c r="J274" s="3">
        <v>2.572442578754738E-4</v>
      </c>
      <c r="K274" s="3">
        <v>2.6007313993370008E-3</v>
      </c>
      <c r="L274" s="3">
        <v>2.9738091324392313E-2</v>
      </c>
      <c r="M274" s="3">
        <v>6.3666521705083622E-3</v>
      </c>
      <c r="N274" s="3">
        <v>-3.0957318969691513E-3</v>
      </c>
      <c r="O274" s="3">
        <v>-6.1967524862162355E-3</v>
      </c>
      <c r="P274" s="3">
        <v>1.0858306188923478E-3</v>
      </c>
      <c r="Q274" s="3">
        <v>2.7272751103194104E-2</v>
      </c>
      <c r="R274" s="3">
        <v>0</v>
      </c>
      <c r="S274" s="3">
        <v>0</v>
      </c>
      <c r="T274" s="3">
        <v>6.2149036982573859E-3</v>
      </c>
      <c r="U274" s="3">
        <v>-1.7581285084620781E-2</v>
      </c>
      <c r="V274" s="3">
        <v>1.2820415092852911E-3</v>
      </c>
      <c r="W274" s="3">
        <v>2.0142666061025018E-2</v>
      </c>
      <c r="X274" s="3">
        <v>-5.598480703731399E-3</v>
      </c>
      <c r="Y274" s="3">
        <v>7.8535794590320982E-3</v>
      </c>
      <c r="Z274" s="3">
        <v>7.7021822849806946E-3</v>
      </c>
      <c r="AA274" s="3">
        <v>9.1931560177636786E-3</v>
      </c>
      <c r="AB274" s="3">
        <v>3.9340666950906976E-3</v>
      </c>
      <c r="AC274" s="3">
        <v>-1.6837455085374858E-2</v>
      </c>
      <c r="AD274" s="3">
        <v>0</v>
      </c>
      <c r="AE274" s="3">
        <v>-9.4444861503400288E-3</v>
      </c>
      <c r="AF274" s="3">
        <v>3.3597257109022208E-3</v>
      </c>
      <c r="AG274" s="3">
        <v>8.4606602563733625E-4</v>
      </c>
      <c r="AH274" s="3">
        <v>-2.3913113652333791E-2</v>
      </c>
      <c r="AI274" s="3">
        <v>-8.9341625688350822E-3</v>
      </c>
      <c r="AJ274" s="3">
        <v>8.4432411922572166E-4</v>
      </c>
      <c r="AK274" s="3">
        <v>0.15750915750915756</v>
      </c>
      <c r="AL274" s="3">
        <v>-2.6698881087465344E-3</v>
      </c>
      <c r="AM274" s="3">
        <v>1.0368164387495856E-3</v>
      </c>
      <c r="AN274" s="3">
        <v>9.4941847163135633E-3</v>
      </c>
    </row>
    <row r="275" spans="1:40" x14ac:dyDescent="0.3">
      <c r="A275" s="101">
        <v>44708</v>
      </c>
      <c r="B275" s="3">
        <v>3.535481698296114E-2</v>
      </c>
      <c r="C275" s="3">
        <v>6.7612500017594189E-3</v>
      </c>
      <c r="D275" s="3">
        <v>7.96986822804875E-5</v>
      </c>
      <c r="E275" s="3">
        <v>-6.1274622557383812E-3</v>
      </c>
      <c r="F275" s="3">
        <v>-4.4408728955002801E-3</v>
      </c>
      <c r="G275" s="3">
        <v>-1.5656363497736806E-2</v>
      </c>
      <c r="H275" s="3">
        <v>4.6407783022113366E-3</v>
      </c>
      <c r="I275" s="3">
        <v>8.8495139182607173E-3</v>
      </c>
      <c r="J275" s="3">
        <v>1.5430819097678385E-3</v>
      </c>
      <c r="K275" s="3">
        <v>7.96986822804875E-5</v>
      </c>
      <c r="L275" s="3">
        <v>2.7855661832409426E-3</v>
      </c>
      <c r="M275" s="3">
        <v>5.4101221640488584E-2</v>
      </c>
      <c r="N275" s="3">
        <v>4.6579775792180648E-3</v>
      </c>
      <c r="O275" s="3">
        <v>6.7612500017594189E-3</v>
      </c>
      <c r="P275" s="3">
        <v>2.2776571432940904E-2</v>
      </c>
      <c r="Q275" s="3">
        <v>8.0451787274488085E-4</v>
      </c>
      <c r="R275" s="3">
        <v>-7.3605943970576834E-3</v>
      </c>
      <c r="S275" s="3">
        <v>0</v>
      </c>
      <c r="T275" s="3">
        <v>3.0294072010428993E-2</v>
      </c>
      <c r="U275" s="3">
        <v>4.5372402615451106E-2</v>
      </c>
      <c r="V275" s="3">
        <v>-1.1523705598711841E-2</v>
      </c>
      <c r="W275" s="3">
        <v>6.1407603589701792E-2</v>
      </c>
      <c r="X275" s="3">
        <v>-2.1715737847606987E-2</v>
      </c>
      <c r="Y275" s="3">
        <v>-2.7573397739335801E-3</v>
      </c>
      <c r="Z275" s="3">
        <v>-1.2738853503184669E-2</v>
      </c>
      <c r="AA275" s="3">
        <v>1.9392611282889428E-2</v>
      </c>
      <c r="AB275" s="3">
        <v>1.2600594475377933E-2</v>
      </c>
      <c r="AC275" s="3">
        <v>1.640093999399609E-2</v>
      </c>
      <c r="AD275" s="3">
        <v>-8.231778928168525E-3</v>
      </c>
      <c r="AE275" s="3">
        <v>4.6425206868661639E-2</v>
      </c>
      <c r="AF275" s="3">
        <v>-3.8746852311213505E-2</v>
      </c>
      <c r="AG275" s="3">
        <v>3.3812341504648475E-3</v>
      </c>
      <c r="AH275" s="3">
        <v>4.9443160806854264E-2</v>
      </c>
      <c r="AI275" s="3">
        <v>-1.2586396204543869E-2</v>
      </c>
      <c r="AJ275" s="3">
        <v>-1.1349888374214615E-2</v>
      </c>
      <c r="AK275" s="3">
        <v>1.5822784810126524E-2</v>
      </c>
      <c r="AL275" s="3">
        <v>5.3660920065532556E-3</v>
      </c>
      <c r="AM275" s="3">
        <v>1.2042793509126126E-2</v>
      </c>
      <c r="AN275" s="3">
        <v>2.166464572136121E-2</v>
      </c>
    </row>
    <row r="276" spans="1:40" x14ac:dyDescent="0.3">
      <c r="A276" s="101">
        <v>44711</v>
      </c>
      <c r="B276" s="3">
        <v>-3.0077042089480675E-2</v>
      </c>
      <c r="C276" s="3">
        <v>8.3576482326280527E-3</v>
      </c>
      <c r="D276" s="3">
        <v>4.3979181190233908E-3</v>
      </c>
      <c r="E276" s="3">
        <v>-7.8504143727997286E-3</v>
      </c>
      <c r="F276" s="3">
        <v>2.4330922057999227E-3</v>
      </c>
      <c r="G276" s="3">
        <v>2.62341156534164E-2</v>
      </c>
      <c r="H276" s="3">
        <v>-2.0614108679498258E-3</v>
      </c>
      <c r="I276" s="3">
        <v>-4.9580179806003027E-3</v>
      </c>
      <c r="J276" s="3">
        <v>1.7075362853038373E-2</v>
      </c>
      <c r="K276" s="3">
        <v>4.3979181190233908E-3</v>
      </c>
      <c r="L276" s="3">
        <v>-6.1274622557383812E-3</v>
      </c>
      <c r="M276" s="3">
        <v>-5.3807740066225277E-3</v>
      </c>
      <c r="N276" s="3">
        <v>-1.2879065358986689E-3</v>
      </c>
      <c r="O276" s="3">
        <v>8.3576482326280527E-3</v>
      </c>
      <c r="P276" s="3">
        <v>-1.5907210185196791E-3</v>
      </c>
      <c r="Q276" s="3">
        <v>1.6077422880840446E-3</v>
      </c>
      <c r="R276" s="3">
        <v>1.7751596197857853E-2</v>
      </c>
      <c r="S276" s="3">
        <v>0</v>
      </c>
      <c r="T276" s="3">
        <v>1.1704180394374699E-2</v>
      </c>
      <c r="U276" s="3">
        <v>3.6313528696789205E-3</v>
      </c>
      <c r="V276" s="3">
        <v>-1.4248703415204584E-2</v>
      </c>
      <c r="W276" s="3">
        <v>1.7801516038379678E-2</v>
      </c>
      <c r="X276" s="3">
        <v>-5.2069879305569038E-3</v>
      </c>
      <c r="Y276" s="3">
        <v>1.4004941215511893E-2</v>
      </c>
      <c r="Z276" s="3">
        <v>6.3225806451612937E-2</v>
      </c>
      <c r="AA276" s="3">
        <v>1.0882244214004357E-2</v>
      </c>
      <c r="AB276" s="3">
        <v>-1.0091670056335118E-2</v>
      </c>
      <c r="AC276" s="3">
        <v>-2.0356024476062412E-2</v>
      </c>
      <c r="AD276" s="3">
        <v>-2.5207468179057932E-2</v>
      </c>
      <c r="AE276" s="3">
        <v>4.578485821577729E-2</v>
      </c>
      <c r="AF276" s="3">
        <v>-3.9809244689878428E-3</v>
      </c>
      <c r="AG276" s="3">
        <v>-3.243475147430485E-2</v>
      </c>
      <c r="AH276" s="3">
        <v>-4.0747006411954979E-2</v>
      </c>
      <c r="AI276" s="3">
        <v>-1.68236382851247E-2</v>
      </c>
      <c r="AJ276" s="3">
        <v>-3.955799840548592E-3</v>
      </c>
      <c r="AK276" s="3">
        <v>-6.5420560747663545E-2</v>
      </c>
      <c r="AL276" s="3">
        <v>-6.3583020414762657E-3</v>
      </c>
      <c r="AM276" s="3">
        <v>4.8761749398096169E-3</v>
      </c>
      <c r="AN276" s="3">
        <v>-6.7066178294433927E-4</v>
      </c>
    </row>
    <row r="277" spans="1:40" x14ac:dyDescent="0.3">
      <c r="A277" s="101">
        <v>44712</v>
      </c>
      <c r="B277" s="3">
        <v>2.3330958334762041E-4</v>
      </c>
      <c r="C277" s="3">
        <v>1.1396346826225959E-2</v>
      </c>
      <c r="D277" s="3">
        <v>-8.6634720347544217E-3</v>
      </c>
      <c r="E277" s="3">
        <v>1.3463617207049616E-2</v>
      </c>
      <c r="F277" s="3">
        <v>1.5776673145100627E-2</v>
      </c>
      <c r="G277" s="3">
        <v>-3.3370334341359546E-2</v>
      </c>
      <c r="H277" s="3">
        <v>-6.9999416671529175E-4</v>
      </c>
      <c r="I277" s="3">
        <v>-1.8781118209546588E-2</v>
      </c>
      <c r="J277" s="3">
        <v>8.5836294775931046E-3</v>
      </c>
      <c r="K277" s="3">
        <v>-8.6634720347544217E-3</v>
      </c>
      <c r="L277" s="3">
        <v>-7.8504143727997286E-3</v>
      </c>
      <c r="M277" s="3">
        <v>-3.4956303891878815E-2</v>
      </c>
      <c r="N277" s="3">
        <v>-2.2781959299594364E-2</v>
      </c>
      <c r="O277" s="3">
        <v>1.1396346826225959E-2</v>
      </c>
      <c r="P277" s="3">
        <v>-1.3807753584705153E-2</v>
      </c>
      <c r="Q277" s="3">
        <v>0</v>
      </c>
      <c r="R277" s="3">
        <v>-1.7515492688420817E-2</v>
      </c>
      <c r="S277" s="3">
        <v>1.2136651669218766E-3</v>
      </c>
      <c r="T277" s="3">
        <v>2.3984314731849355E-2</v>
      </c>
      <c r="U277" s="3">
        <v>-1.2749863266136245E-2</v>
      </c>
      <c r="V277" s="3">
        <v>-7.8844113462785068E-3</v>
      </c>
      <c r="W277" s="3">
        <v>1.9457789977632041E-2</v>
      </c>
      <c r="X277" s="3">
        <v>5.6473803208644709E-2</v>
      </c>
      <c r="Y277" s="3">
        <v>9.1286782891881156E-3</v>
      </c>
      <c r="Z277" s="3">
        <v>1.6990291262135991E-2</v>
      </c>
      <c r="AA277" s="3">
        <v>-3.9787985950079418E-3</v>
      </c>
      <c r="AB277" s="3">
        <v>1.4104122084083098E-2</v>
      </c>
      <c r="AC277" s="3">
        <v>7.9779317117280105E-3</v>
      </c>
      <c r="AD277" s="3">
        <v>-3.1529744596922485E-4</v>
      </c>
      <c r="AE277" s="3">
        <v>3.8813392697917413E-2</v>
      </c>
      <c r="AF277" s="3">
        <v>2.323245710707535E-2</v>
      </c>
      <c r="AG277" s="3">
        <v>2.2638268290738586E-2</v>
      </c>
      <c r="AH277" s="3">
        <v>2.654867969575473E-2</v>
      </c>
      <c r="AI277" s="3">
        <v>1.5301126294696108E-2</v>
      </c>
      <c r="AJ277" s="3">
        <v>1.300490703264884E-2</v>
      </c>
      <c r="AK277" s="3">
        <v>-4.33333333333333E-2</v>
      </c>
      <c r="AL277" s="3">
        <v>7.0679516690532601E-3</v>
      </c>
      <c r="AM277" s="3">
        <v>-7.5283844535659851E-3</v>
      </c>
      <c r="AN277" s="3">
        <v>-9.4468036969983654E-3</v>
      </c>
    </row>
    <row r="278" spans="1:40" x14ac:dyDescent="0.3">
      <c r="A278" s="101">
        <v>44713</v>
      </c>
      <c r="B278" s="3">
        <v>3.4964105387540094E-3</v>
      </c>
      <c r="C278" s="3">
        <v>-6.8045808646436381E-3</v>
      </c>
      <c r="D278" s="3">
        <v>3.1361587304756956E-3</v>
      </c>
      <c r="E278" s="3">
        <v>-8.1745070512934429E-4</v>
      </c>
      <c r="F278" s="3">
        <v>2.668260746313094E-2</v>
      </c>
      <c r="G278" s="3">
        <v>2.0190847146614545E-2</v>
      </c>
      <c r="H278" s="3">
        <v>-1.7958499727017303E-3</v>
      </c>
      <c r="I278" s="3">
        <v>-2.734381159081703E-2</v>
      </c>
      <c r="J278" s="3">
        <v>-7.1339290011999028E-3</v>
      </c>
      <c r="K278" s="3">
        <v>3.1361587304756956E-3</v>
      </c>
      <c r="L278" s="3">
        <v>1.3463617207049616E-2</v>
      </c>
      <c r="M278" s="3">
        <v>1.962052566579282E-2</v>
      </c>
      <c r="N278" s="3">
        <v>-1.3283912872557356E-2</v>
      </c>
      <c r="O278" s="3">
        <v>-6.8045808646436381E-3</v>
      </c>
      <c r="P278" s="3">
        <v>1.5616639741518588E-2</v>
      </c>
      <c r="Q278" s="3">
        <v>2.648467246972095E-2</v>
      </c>
      <c r="R278" s="3">
        <v>0</v>
      </c>
      <c r="S278" s="3">
        <v>0</v>
      </c>
      <c r="T278" s="3">
        <v>-3.3067329737067825E-3</v>
      </c>
      <c r="U278" s="3">
        <v>-1.7450673037756382E-4</v>
      </c>
      <c r="V278" s="3">
        <v>2.3841098454914691E-2</v>
      </c>
      <c r="W278" s="3">
        <v>-3.4098182813820224E-2</v>
      </c>
      <c r="X278" s="3">
        <v>-2.2164225406217736E-2</v>
      </c>
      <c r="Y278" s="3">
        <v>-3.1896186798161745E-2</v>
      </c>
      <c r="Z278" s="3">
        <v>-2.6252983293556159E-2</v>
      </c>
      <c r="AA278" s="3">
        <v>4.6389850044404679E-3</v>
      </c>
      <c r="AB278" s="3">
        <v>1.2698152185377922E-2</v>
      </c>
      <c r="AC278" s="3">
        <v>2.0283456671729115E-2</v>
      </c>
      <c r="AD278" s="3">
        <v>6.3089232060464936E-4</v>
      </c>
      <c r="AE278" s="3">
        <v>5.426799154247669E-2</v>
      </c>
      <c r="AF278" s="3">
        <v>-5.1269191661906964E-3</v>
      </c>
      <c r="AG278" s="3">
        <v>-9.7914005959981645E-3</v>
      </c>
      <c r="AH278" s="3">
        <v>-1.8103426852125896E-2</v>
      </c>
      <c r="AI278" s="3">
        <v>2.1857072331315803E-3</v>
      </c>
      <c r="AJ278" s="3">
        <v>1.8450428484507852E-2</v>
      </c>
      <c r="AK278" s="3">
        <v>3.4843205574912146E-3</v>
      </c>
      <c r="AL278" s="3">
        <v>4.3058320460901993E-3</v>
      </c>
      <c r="AM278" s="3">
        <v>2.3782710261569369E-2</v>
      </c>
      <c r="AN278" s="3">
        <v>1.4904660330804759E-2</v>
      </c>
    </row>
    <row r="279" spans="1:40" x14ac:dyDescent="0.3">
      <c r="A279" s="101">
        <v>44714</v>
      </c>
      <c r="B279" s="3">
        <v>-1.0917473296876217E-2</v>
      </c>
      <c r="C279" s="3">
        <v>6.6296830517366281E-4</v>
      </c>
      <c r="D279" s="3">
        <v>6.1295156123775136E-3</v>
      </c>
      <c r="E279" s="3">
        <v>1.1315429229536751E-2</v>
      </c>
      <c r="F279" s="3">
        <v>-1.6291713416307287E-2</v>
      </c>
      <c r="G279" s="3">
        <v>3.9815320425198426E-2</v>
      </c>
      <c r="H279" s="3">
        <v>5.5864384390996533E-3</v>
      </c>
      <c r="I279" s="3">
        <v>-1.5260998406721196E-2</v>
      </c>
      <c r="J279" s="3">
        <v>-6.3027062063183243E-3</v>
      </c>
      <c r="K279" s="3">
        <v>6.1295156123775136E-3</v>
      </c>
      <c r="L279" s="3">
        <v>-8.1745070512934429E-4</v>
      </c>
      <c r="M279" s="3">
        <v>-1.7339817776700687E-2</v>
      </c>
      <c r="N279" s="3">
        <v>2.0595479569556915E-2</v>
      </c>
      <c r="O279" s="3">
        <v>6.6296830517366281E-4</v>
      </c>
      <c r="P279" s="3">
        <v>5.3021206096436242E-3</v>
      </c>
      <c r="Q279" s="3">
        <v>5.47301594268375E-3</v>
      </c>
      <c r="R279" s="3">
        <v>4.1198422215600716E-2</v>
      </c>
      <c r="S279" s="3">
        <v>0</v>
      </c>
      <c r="T279" s="3">
        <v>-6.6352957655873854E-3</v>
      </c>
      <c r="U279" s="3">
        <v>1.2043983865689011E-2</v>
      </c>
      <c r="V279" s="3">
        <v>-1.1642968079174322E-2</v>
      </c>
      <c r="W279" s="3">
        <v>-1.7762412657748713E-3</v>
      </c>
      <c r="X279" s="3">
        <v>-2.533336000000001E-2</v>
      </c>
      <c r="Y279" s="3">
        <v>4.6720709261825252E-3</v>
      </c>
      <c r="Z279" s="3">
        <v>7.3529411764706488E-3</v>
      </c>
      <c r="AA279" s="3">
        <v>5.2684763076625202E-2</v>
      </c>
      <c r="AB279" s="3">
        <v>-2.0898054609490577E-3</v>
      </c>
      <c r="AC279" s="3">
        <v>4.6013538760621888E-3</v>
      </c>
      <c r="AD279" s="3">
        <v>-2.5220766646178207E-3</v>
      </c>
      <c r="AE279" s="3">
        <v>4.510535811648083E-2</v>
      </c>
      <c r="AF279" s="3">
        <v>2.6748502818255322E-2</v>
      </c>
      <c r="AG279" s="3">
        <v>-3.869303525365428E-3</v>
      </c>
      <c r="AH279" s="3">
        <v>3.5996558942845543E-2</v>
      </c>
      <c r="AI279" s="3">
        <v>-6.8879443101669559E-4</v>
      </c>
      <c r="AJ279" s="3">
        <v>4.6801579465110925E-3</v>
      </c>
      <c r="AK279" s="3">
        <v>4.5138888888888853E-2</v>
      </c>
      <c r="AL279" s="3">
        <v>-4.2361900396832887E-3</v>
      </c>
      <c r="AM279" s="3">
        <v>7.7040661649927199E-3</v>
      </c>
      <c r="AN279" s="3">
        <v>-4.6219018789910775E-4</v>
      </c>
    </row>
    <row r="280" spans="1:40" x14ac:dyDescent="0.3">
      <c r="A280" s="101">
        <v>44715</v>
      </c>
      <c r="B280" s="3">
        <v>-3.2880442048102898E-3</v>
      </c>
      <c r="C280" s="3">
        <v>-1.5460895816840523E-3</v>
      </c>
      <c r="D280" s="3">
        <v>6.4881451062155128E-4</v>
      </c>
      <c r="E280" s="3">
        <v>3.9465525570357039E-3</v>
      </c>
      <c r="F280" s="3">
        <v>4.3375562504876144E-3</v>
      </c>
      <c r="G280" s="3">
        <v>1.9219980479045443E-2</v>
      </c>
      <c r="H280" s="3">
        <v>5.4048876604351713E-4</v>
      </c>
      <c r="I280" s="3">
        <v>-1.5089722896881526E-2</v>
      </c>
      <c r="J280" s="3">
        <v>-3.5521310423016011E-3</v>
      </c>
      <c r="K280" s="3">
        <v>6.4881451062155128E-4</v>
      </c>
      <c r="L280" s="3">
        <v>1.1315429229536751E-2</v>
      </c>
      <c r="M280" s="3">
        <v>2.0012932644438659E-2</v>
      </c>
      <c r="N280" s="3">
        <v>-7.0760756764622216E-3</v>
      </c>
      <c r="O280" s="3">
        <v>-1.5460895816840523E-3</v>
      </c>
      <c r="P280" s="3">
        <v>1.4240559822814369E-2</v>
      </c>
      <c r="Q280" s="3">
        <v>1.4774537135885895E-2</v>
      </c>
      <c r="R280" s="3">
        <v>7.2661482595887603E-3</v>
      </c>
      <c r="S280" s="3">
        <v>2.3030263753311204E-2</v>
      </c>
      <c r="T280" s="3">
        <v>-1.1133538364660822E-3</v>
      </c>
      <c r="U280" s="3">
        <v>2.3456367590571757E-2</v>
      </c>
      <c r="V280" s="3">
        <v>1.047123307684808E-2</v>
      </c>
      <c r="W280" s="3">
        <v>-4.8931707954407971E-3</v>
      </c>
      <c r="X280" s="3">
        <v>-1.3679617337335544E-3</v>
      </c>
      <c r="Y280" s="3">
        <v>4.0463702857063168E-3</v>
      </c>
      <c r="Z280" s="3">
        <v>2.1897810218978065E-2</v>
      </c>
      <c r="AA280" s="3">
        <v>3.5411303015598236E-2</v>
      </c>
      <c r="AB280" s="3">
        <v>-2.16899761619558E-3</v>
      </c>
      <c r="AC280" s="3">
        <v>7.6044423806271733E-3</v>
      </c>
      <c r="AD280" s="3">
        <v>1.2642268092433104E-2</v>
      </c>
      <c r="AE280" s="3">
        <v>4.4580861904267664E-3</v>
      </c>
      <c r="AF280" s="3">
        <v>2.4617576760879646E-2</v>
      </c>
      <c r="AG280" s="3">
        <v>6.9054812257227701E-3</v>
      </c>
      <c r="AH280" s="3">
        <v>-3.3898139455463086E-3</v>
      </c>
      <c r="AI280" s="3">
        <v>6.7774264417799039E-3</v>
      </c>
      <c r="AJ280" s="3">
        <v>3.7564175916548754E-3</v>
      </c>
      <c r="AK280" s="3">
        <v>9.9667774086379564E-3</v>
      </c>
      <c r="AL280" s="3">
        <v>6.4881089266202591E-3</v>
      </c>
      <c r="AM280" s="3">
        <v>1.0375644778555142E-2</v>
      </c>
      <c r="AN280" s="3">
        <v>-1.5622943494458382E-2</v>
      </c>
    </row>
    <row r="281" spans="1:40" x14ac:dyDescent="0.3">
      <c r="A281" s="101">
        <v>44718</v>
      </c>
      <c r="B281" s="3">
        <v>-7.0687871163116357E-3</v>
      </c>
      <c r="C281" s="3">
        <v>2.8093181610582007E-2</v>
      </c>
      <c r="D281" s="3">
        <v>-2.7811408991585958E-3</v>
      </c>
      <c r="E281" s="3">
        <v>-1.191486728907634E-2</v>
      </c>
      <c r="F281" s="3">
        <v>6.6745377737364954E-3</v>
      </c>
      <c r="G281" s="3">
        <v>7.3226655293437534E-4</v>
      </c>
      <c r="H281" s="3">
        <v>5.9831923579260629E-4</v>
      </c>
      <c r="I281" s="3">
        <v>1.035195097674935E-2</v>
      </c>
      <c r="J281" s="3">
        <v>1.2476263937504674E-2</v>
      </c>
      <c r="K281" s="3">
        <v>-2.7811408991585958E-3</v>
      </c>
      <c r="L281" s="3">
        <v>3.9465525570357039E-3</v>
      </c>
      <c r="M281" s="3">
        <v>-8.227932142281293E-3</v>
      </c>
      <c r="N281" s="3">
        <v>-8.8861320376374293E-3</v>
      </c>
      <c r="O281" s="3">
        <v>2.8093181610582007E-2</v>
      </c>
      <c r="P281" s="3">
        <v>-9.3604264170567206E-3</v>
      </c>
      <c r="Q281" s="3">
        <v>-1.3026836397564908E-2</v>
      </c>
      <c r="R281" s="3">
        <v>7.1423815090142515E-3</v>
      </c>
      <c r="S281" s="3">
        <v>0</v>
      </c>
      <c r="T281" s="3">
        <v>3.6222923007630365E-3</v>
      </c>
      <c r="U281" s="3">
        <v>-1.7526195265777509E-2</v>
      </c>
      <c r="V281" s="3">
        <v>3.8859808219412831E-3</v>
      </c>
      <c r="W281" s="3">
        <v>2.6820685761080017E-3</v>
      </c>
      <c r="X281" s="3">
        <v>0</v>
      </c>
      <c r="Y281" s="3">
        <v>-5.4134977443608566E-3</v>
      </c>
      <c r="Z281" s="3">
        <v>-1.6666666666666732E-2</v>
      </c>
      <c r="AA281" s="3">
        <v>-1.1694311351129982E-2</v>
      </c>
      <c r="AB281" s="3">
        <v>-2.248698327075836E-3</v>
      </c>
      <c r="AC281" s="3">
        <v>-5.2741944079473394E-3</v>
      </c>
      <c r="AD281" s="3">
        <v>1.3420748925146771E-2</v>
      </c>
      <c r="AE281" s="3">
        <v>1.7375738292375875E-2</v>
      </c>
      <c r="AF281" s="3">
        <v>2.2160058063650248E-2</v>
      </c>
      <c r="AG281" s="3">
        <v>7.7153879125590775E-3</v>
      </c>
      <c r="AH281" s="3">
        <v>3.1462495291919149E-2</v>
      </c>
      <c r="AI281" s="3">
        <v>5.5508006100531734E-2</v>
      </c>
      <c r="AJ281" s="3">
        <v>0.15531457494192161</v>
      </c>
      <c r="AK281" s="3">
        <v>9.8684210526315142E-3</v>
      </c>
      <c r="AL281" s="3">
        <v>-2.2547964716896143E-3</v>
      </c>
      <c r="AM281" s="3">
        <v>1.7391825338346396E-2</v>
      </c>
      <c r="AN281" s="3">
        <v>-1.3806563309826365E-2</v>
      </c>
    </row>
    <row r="282" spans="1:40" x14ac:dyDescent="0.3">
      <c r="A282" s="101">
        <v>44719</v>
      </c>
      <c r="B282" s="3">
        <v>-1.186399508531667E-3</v>
      </c>
      <c r="C282" s="3">
        <v>4.8054299585391178E-3</v>
      </c>
      <c r="D282" s="3">
        <v>-3.807478314126343E-3</v>
      </c>
      <c r="E282" s="3">
        <v>3.4453157396473612E-3</v>
      </c>
      <c r="F282" s="3">
        <v>-1.2090481379280048E-2</v>
      </c>
      <c r="G282" s="3">
        <v>3.3077235261349522E-2</v>
      </c>
      <c r="H282" s="3">
        <v>3.235825750612438E-3</v>
      </c>
      <c r="I282" s="3">
        <v>-4.9179648513222362E-3</v>
      </c>
      <c r="J282" s="3">
        <v>4.1494335893990947E-3</v>
      </c>
      <c r="K282" s="3">
        <v>-3.807478314126343E-3</v>
      </c>
      <c r="L282" s="3">
        <v>-1.191486728907634E-2</v>
      </c>
      <c r="M282" s="3">
        <v>9.9979157625148963E-3</v>
      </c>
      <c r="N282" s="3">
        <v>-3.5508931622715953E-3</v>
      </c>
      <c r="O282" s="3">
        <v>4.8054299585391178E-3</v>
      </c>
      <c r="P282" s="3">
        <v>-1.8372599389637732E-2</v>
      </c>
      <c r="Q282" s="3">
        <v>-1.1645955205072814E-2</v>
      </c>
      <c r="R282" s="3">
        <v>-6.5989593991026187E-3</v>
      </c>
      <c r="S282" s="3">
        <v>0</v>
      </c>
      <c r="T282" s="3">
        <v>1.2215394203130661E-2</v>
      </c>
      <c r="U282" s="3">
        <v>7.7187313420757943E-3</v>
      </c>
      <c r="V282" s="3">
        <v>4.3870955503667756E-2</v>
      </c>
      <c r="W282" s="3">
        <v>-1.9170709864871731E-2</v>
      </c>
      <c r="X282" s="3">
        <v>-2.4657534246576279E-3</v>
      </c>
      <c r="Y282" s="3">
        <v>-5.0801993923121113E-3</v>
      </c>
      <c r="Z282" s="3">
        <v>1.9370460048426168E-2</v>
      </c>
      <c r="AA282" s="3">
        <v>2.5079267009088576E-2</v>
      </c>
      <c r="AB282" s="3">
        <v>1.2546192105513713E-2</v>
      </c>
      <c r="AC282" s="3">
        <v>4.1802209359378485E-2</v>
      </c>
      <c r="AD282" s="3">
        <v>7.0835133687565874E-3</v>
      </c>
      <c r="AE282" s="3">
        <v>2.1789541366364091E-2</v>
      </c>
      <c r="AF282" s="3">
        <v>4.9748989322404603E-2</v>
      </c>
      <c r="AG282" s="3">
        <v>-1.9566184602296973E-2</v>
      </c>
      <c r="AH282" s="3">
        <v>-6.5951867061583543E-3</v>
      </c>
      <c r="AI282" s="3">
        <v>-2.702416157804344E-4</v>
      </c>
      <c r="AJ282" s="3">
        <v>-1.2892972116765227E-2</v>
      </c>
      <c r="AK282" s="3">
        <v>-2.9315960912052071E-2</v>
      </c>
      <c r="AL282" s="3">
        <v>-1.381936264059162E-3</v>
      </c>
      <c r="AM282" s="3">
        <v>1.1307837518441798E-2</v>
      </c>
      <c r="AN282" s="3">
        <v>1.2474090684283594E-2</v>
      </c>
    </row>
    <row r="283" spans="1:40" x14ac:dyDescent="0.3">
      <c r="A283" s="101">
        <v>44720</v>
      </c>
      <c r="B283" s="3">
        <v>-4.0390866864866964E-3</v>
      </c>
      <c r="C283" s="3">
        <v>-2.1414132740118917E-3</v>
      </c>
      <c r="D283" s="3">
        <v>-3.3652659811485722E-3</v>
      </c>
      <c r="E283" s="3">
        <v>-3.5560280557541363E-3</v>
      </c>
      <c r="F283" s="3">
        <v>1.1843596549019019E-2</v>
      </c>
      <c r="G283" s="3">
        <v>-7.7566127046342836E-3</v>
      </c>
      <c r="H283" s="3">
        <v>-3.9985286504455207E-3</v>
      </c>
      <c r="I283" s="3">
        <v>3.7067874619774043E-3</v>
      </c>
      <c r="J283" s="3">
        <v>-3.0052147645508536E-3</v>
      </c>
      <c r="K283" s="3">
        <v>-3.3652659811485722E-3</v>
      </c>
      <c r="L283" s="3">
        <v>3.4453157396473612E-3</v>
      </c>
      <c r="M283" s="3">
        <v>1.1373209772535937E-2</v>
      </c>
      <c r="N283" s="3">
        <v>1.1046777314774752E-2</v>
      </c>
      <c r="O283" s="3">
        <v>-2.1414132740118917E-3</v>
      </c>
      <c r="P283" s="3">
        <v>4.8128339672281221E-3</v>
      </c>
      <c r="Q283" s="3">
        <v>1.9638668196264728E-2</v>
      </c>
      <c r="R283" s="3">
        <v>7.1428752917180151E-3</v>
      </c>
      <c r="S283" s="3">
        <v>0</v>
      </c>
      <c r="T283" s="3">
        <v>1.5633503244468262E-2</v>
      </c>
      <c r="U283" s="3">
        <v>-1.9744652507875667E-2</v>
      </c>
      <c r="V283" s="3">
        <v>1.2360948136971821E-2</v>
      </c>
      <c r="W283" s="3">
        <v>-2.5909035855420284E-2</v>
      </c>
      <c r="X283" s="3">
        <v>-2.4993133754462969E-2</v>
      </c>
      <c r="Y283" s="3">
        <v>-1.9512443605630161E-2</v>
      </c>
      <c r="Z283" s="3">
        <v>-1.9002375296912132E-2</v>
      </c>
      <c r="AA283" s="3">
        <v>-1.1557683785696105E-2</v>
      </c>
      <c r="AB283" s="3">
        <v>1.1499968469185651E-2</v>
      </c>
      <c r="AC283" s="3">
        <v>-1.0544370267220915E-2</v>
      </c>
      <c r="AD283" s="3">
        <v>-5.5045813717291749E-3</v>
      </c>
      <c r="AE283" s="3">
        <v>3.4070811534344471E-4</v>
      </c>
      <c r="AF283" s="3">
        <v>-2.9782466742307837E-2</v>
      </c>
      <c r="AG283" s="3">
        <v>-1.3448981060693376E-2</v>
      </c>
      <c r="AH283" s="3">
        <v>0</v>
      </c>
      <c r="AI283" s="3">
        <v>2.4220165281369506E-2</v>
      </c>
      <c r="AJ283" s="3">
        <v>2.356278514347835E-2</v>
      </c>
      <c r="AK283" s="3">
        <v>-6.7114093959731603E-3</v>
      </c>
      <c r="AL283" s="3">
        <v>-6.3160868378730958E-3</v>
      </c>
      <c r="AM283" s="3">
        <v>8.8169704225047859E-4</v>
      </c>
      <c r="AN283" s="3">
        <v>1.234034740156355E-3</v>
      </c>
    </row>
    <row r="284" spans="1:40" x14ac:dyDescent="0.3">
      <c r="A284" s="101">
        <v>44721</v>
      </c>
      <c r="B284" s="3">
        <v>-7.6336166741053984E-3</v>
      </c>
      <c r="C284" s="3">
        <v>-6.4394176218742231E-4</v>
      </c>
      <c r="D284" s="3">
        <v>-2.6198319577855904E-3</v>
      </c>
      <c r="E284" s="3">
        <v>-3.6508112344031444E-3</v>
      </c>
      <c r="F284" s="3">
        <v>1.9508457659486004E-2</v>
      </c>
      <c r="G284" s="3">
        <v>2.819946517650114E-3</v>
      </c>
      <c r="H284" s="3">
        <v>-3.4571903403845189E-3</v>
      </c>
      <c r="I284" s="3">
        <v>2.9954739992049732E-2</v>
      </c>
      <c r="J284" s="3">
        <v>2.5090346761404093E-4</v>
      </c>
      <c r="K284" s="3">
        <v>-2.6198319577855904E-3</v>
      </c>
      <c r="L284" s="3">
        <v>-3.5560280557541363E-3</v>
      </c>
      <c r="M284" s="3">
        <v>-1.2703040399833538E-2</v>
      </c>
      <c r="N284" s="3">
        <v>4.6700021231113747E-3</v>
      </c>
      <c r="O284" s="3">
        <v>-6.4394176218742231E-4</v>
      </c>
      <c r="P284" s="3">
        <v>1.0642894590586274E-3</v>
      </c>
      <c r="Q284" s="3">
        <v>-7.7041866212093297E-3</v>
      </c>
      <c r="R284" s="3">
        <v>-7.0922164739030576E-3</v>
      </c>
      <c r="S284" s="3">
        <v>2.8436028580135195E-2</v>
      </c>
      <c r="T284" s="3">
        <v>1.1612202680293901E-2</v>
      </c>
      <c r="U284" s="3">
        <v>-3.559645857208716E-2</v>
      </c>
      <c r="V284" s="3">
        <v>-6.1050002653672351E-2</v>
      </c>
      <c r="W284" s="3">
        <v>-6.112924788477573E-2</v>
      </c>
      <c r="X284" s="3">
        <v>-5.8309859154929589E-2</v>
      </c>
      <c r="Y284" s="3">
        <v>-3.5957860459556241E-2</v>
      </c>
      <c r="Z284" s="3">
        <v>-4.237288135593216E-2</v>
      </c>
      <c r="AA284" s="3">
        <v>-1.5570773978236801E-3</v>
      </c>
      <c r="AB284" s="3">
        <v>4.6212010457815835E-3</v>
      </c>
      <c r="AC284" s="3">
        <v>-1.1878779794305908E-2</v>
      </c>
      <c r="AD284" s="3">
        <v>-1.0455210906073306E-2</v>
      </c>
      <c r="AE284" s="3">
        <v>4.2612578394618704E-2</v>
      </c>
      <c r="AF284" s="3">
        <v>1.2771583538292827E-2</v>
      </c>
      <c r="AG284" s="3">
        <v>-4.837335092348149E-3</v>
      </c>
      <c r="AH284" s="3">
        <v>-2.9875625672112972E-2</v>
      </c>
      <c r="AI284" s="3">
        <v>-1.4093409721099952E-2</v>
      </c>
      <c r="AJ284" s="3">
        <v>-9.3621002817747996E-3</v>
      </c>
      <c r="AK284" s="3">
        <v>0</v>
      </c>
      <c r="AL284" s="3">
        <v>-5.5745703561416197E-3</v>
      </c>
      <c r="AM284" s="3">
        <v>-9.9156101218369624E-3</v>
      </c>
      <c r="AN284" s="3">
        <v>-2.3143028103766177E-3</v>
      </c>
    </row>
    <row r="285" spans="1:40" x14ac:dyDescent="0.3">
      <c r="A285" s="101">
        <v>44722</v>
      </c>
      <c r="B285" s="3">
        <v>6.4904374057720279E-3</v>
      </c>
      <c r="C285" s="3">
        <v>5.0124366036432861E-4</v>
      </c>
      <c r="D285" s="3">
        <v>1.510411827317307E-3</v>
      </c>
      <c r="E285" s="3">
        <v>1.4409706171463284E-2</v>
      </c>
      <c r="F285" s="3">
        <v>2.6406414691700908E-2</v>
      </c>
      <c r="G285" s="3">
        <v>-6.1934576337049274E-3</v>
      </c>
      <c r="H285" s="3">
        <v>1.3348294403668108E-3</v>
      </c>
      <c r="I285" s="3">
        <v>1.4741036572065956E-2</v>
      </c>
      <c r="J285" s="3">
        <v>1.758105958798502E-3</v>
      </c>
      <c r="K285" s="3">
        <v>1.510411827317307E-3</v>
      </c>
      <c r="L285" s="3">
        <v>-3.6508112344031444E-3</v>
      </c>
      <c r="M285" s="3">
        <v>-1.0968171271883433E-2</v>
      </c>
      <c r="N285" s="3">
        <v>-8.9457970502941492E-3</v>
      </c>
      <c r="O285" s="3">
        <v>5.0124366036432861E-4</v>
      </c>
      <c r="P285" s="3">
        <v>7.9744820826411836E-3</v>
      </c>
      <c r="Q285" s="3">
        <v>-3.1055913139774884E-2</v>
      </c>
      <c r="R285" s="3">
        <v>0</v>
      </c>
      <c r="S285" s="3">
        <v>-6.1659091480215722E-3</v>
      </c>
      <c r="T285" s="3">
        <v>8.0096436055082047E-4</v>
      </c>
      <c r="U285" s="3">
        <v>2.394669545893599E-2</v>
      </c>
      <c r="V285" s="3">
        <v>5.2015207817970414E-3</v>
      </c>
      <c r="W285" s="3">
        <v>-1.4413596796868513E-2</v>
      </c>
      <c r="X285" s="3">
        <v>-5.6834579718816267E-3</v>
      </c>
      <c r="Y285" s="3">
        <v>-2.1864694533762926E-3</v>
      </c>
      <c r="Z285" s="3">
        <v>-5.0568900126422298E-3</v>
      </c>
      <c r="AA285" s="3">
        <v>-2.6188230178573074E-3</v>
      </c>
      <c r="AB285" s="3">
        <v>2.2635652379841232E-3</v>
      </c>
      <c r="AC285" s="3">
        <v>1.9211481328990639E-2</v>
      </c>
      <c r="AD285" s="3">
        <v>2.7967817029935947E-3</v>
      </c>
      <c r="AE285" s="3">
        <v>-5.1344555253130142E-2</v>
      </c>
      <c r="AF285" s="3">
        <v>-5.5309876690453168E-3</v>
      </c>
      <c r="AG285" s="3">
        <v>-1.0163456039039283E-2</v>
      </c>
      <c r="AH285" s="3">
        <v>2.6518460846644578E-2</v>
      </c>
      <c r="AI285" s="3">
        <v>-1.606708406022057E-4</v>
      </c>
      <c r="AJ285" s="3">
        <v>2.2719841768795421E-2</v>
      </c>
      <c r="AK285" s="3">
        <v>6.7567567567567632E-3</v>
      </c>
      <c r="AL285" s="3">
        <v>8.3987518210164418E-3</v>
      </c>
      <c r="AM285" s="3">
        <v>1.0090599909140002E-2</v>
      </c>
      <c r="AN285" s="3">
        <v>-2.09000167643372E-3</v>
      </c>
    </row>
    <row r="286" spans="1:40" x14ac:dyDescent="0.3">
      <c r="A286" s="101">
        <v>44725</v>
      </c>
      <c r="B286" s="3">
        <v>2.3891896301143057E-4</v>
      </c>
      <c r="C286" s="3">
        <v>1.4304133144521093E-4</v>
      </c>
      <c r="D286" s="3">
        <v>-1.4351485002614662E-3</v>
      </c>
      <c r="E286" s="3">
        <v>2.0293119502385198E-2</v>
      </c>
      <c r="F286" s="3">
        <v>-2.2744228471479881E-2</v>
      </c>
      <c r="G286" s="3">
        <v>-8.2020340314312018E-3</v>
      </c>
      <c r="H286" s="3">
        <v>2.4227927569805668E-3</v>
      </c>
      <c r="I286" s="3">
        <v>4.7114808735235214E-3</v>
      </c>
      <c r="J286" s="3">
        <v>4.7631321089776886E-3</v>
      </c>
      <c r="K286" s="3">
        <v>-1.4351485002614662E-3</v>
      </c>
      <c r="L286" s="3">
        <v>1.4409706171463284E-2</v>
      </c>
      <c r="M286" s="3">
        <v>-1.2156088977523816E-2</v>
      </c>
      <c r="N286" s="3">
        <v>8.4955830834629424E-3</v>
      </c>
      <c r="O286" s="3">
        <v>1.4304133144521093E-4</v>
      </c>
      <c r="P286" s="3">
        <v>1.3185654703884742E-2</v>
      </c>
      <c r="Q286" s="3">
        <v>-1.4423007889916141E-2</v>
      </c>
      <c r="R286" s="3">
        <v>-4.2142824653840005E-2</v>
      </c>
      <c r="S286" s="3">
        <v>1.4869006136967464E-2</v>
      </c>
      <c r="T286" s="3">
        <v>5.6014550392739487E-3</v>
      </c>
      <c r="U286" s="3">
        <v>5.2751770646961406E-3</v>
      </c>
      <c r="V286" s="3">
        <v>9.0556655959112883E-3</v>
      </c>
      <c r="W286" s="3">
        <v>5.0426859783218425E-4</v>
      </c>
      <c r="X286" s="3">
        <v>4.8134774480459936E-3</v>
      </c>
      <c r="Y286" s="3">
        <v>1.0247460421565945E-2</v>
      </c>
      <c r="Z286" s="3">
        <v>8.8945362134689055E-3</v>
      </c>
      <c r="AA286" s="3">
        <v>1.4456352123114037E-3</v>
      </c>
      <c r="AB286" s="3">
        <v>1.9596427294632807E-2</v>
      </c>
      <c r="AC286" s="3">
        <v>8.7473401303366253E-4</v>
      </c>
      <c r="AD286" s="3">
        <v>1.8593747983325028E-3</v>
      </c>
      <c r="AE286" s="3">
        <v>-1.227995005476773E-2</v>
      </c>
      <c r="AF286" s="3">
        <v>-1.7575267601335928E-2</v>
      </c>
      <c r="AG286" s="3">
        <v>6.2500446428572142E-3</v>
      </c>
      <c r="AH286" s="3">
        <v>2.0833380747443675E-2</v>
      </c>
      <c r="AI286" s="3">
        <v>5.0334689450345291E-3</v>
      </c>
      <c r="AJ286" s="3">
        <v>1.1012667070027038E-2</v>
      </c>
      <c r="AK286" s="3">
        <v>5.0335570469798627E-2</v>
      </c>
      <c r="AL286" s="3">
        <v>1.860031574324307E-2</v>
      </c>
      <c r="AM286" s="3">
        <v>8.2468421888328639E-4</v>
      </c>
      <c r="AN286" s="3">
        <v>2.2723746625946329E-2</v>
      </c>
    </row>
    <row r="287" spans="1:40" x14ac:dyDescent="0.3">
      <c r="A287" s="101">
        <v>44726</v>
      </c>
      <c r="B287" s="3">
        <v>-4.7756038820107281E-3</v>
      </c>
      <c r="C287" s="3">
        <v>-3.075882433517336E-3</v>
      </c>
      <c r="D287" s="3">
        <v>4.7421246223574298E-3</v>
      </c>
      <c r="E287" s="3">
        <v>-1.9173399067944918E-2</v>
      </c>
      <c r="F287" s="3">
        <v>-1.6024432314904098E-2</v>
      </c>
      <c r="G287" s="3">
        <v>5.8538842099760333E-2</v>
      </c>
      <c r="H287" s="3">
        <v>2.5024015534033661E-3</v>
      </c>
      <c r="I287" s="3">
        <v>-3.9078424476489534E-3</v>
      </c>
      <c r="J287" s="3">
        <v>-5.3643858931709393E-3</v>
      </c>
      <c r="K287" s="3">
        <v>4.7421246223574298E-3</v>
      </c>
      <c r="L287" s="3">
        <v>2.0293119502385198E-2</v>
      </c>
      <c r="M287" s="3">
        <v>-1.5112284110535413E-2</v>
      </c>
      <c r="N287" s="3">
        <v>8.9505785682814105E-3</v>
      </c>
      <c r="O287" s="3">
        <v>-3.075882433517336E-3</v>
      </c>
      <c r="P287" s="3">
        <v>4.1646019867049629E-3</v>
      </c>
      <c r="Q287" s="3">
        <v>2.438961901267008E-3</v>
      </c>
      <c r="R287" s="3">
        <v>1.4168502952784252E-2</v>
      </c>
      <c r="S287" s="3">
        <v>-1.0472131388376325E-2</v>
      </c>
      <c r="T287" s="3">
        <v>1.5915082763831724E-2</v>
      </c>
      <c r="U287" s="3">
        <v>1.2419107108895227E-2</v>
      </c>
      <c r="V287" s="3">
        <v>6.4102075193043064E-3</v>
      </c>
      <c r="W287" s="3">
        <v>-3.5080718748477201E-2</v>
      </c>
      <c r="X287" s="3">
        <v>-1.4970058983828803E-2</v>
      </c>
      <c r="Y287" s="3">
        <v>-1.4609205741626856E-2</v>
      </c>
      <c r="Z287" s="3">
        <v>-7.5566750629723544E-3</v>
      </c>
      <c r="AA287" s="3">
        <v>-2.8457807841920323E-2</v>
      </c>
      <c r="AB287" s="3">
        <v>1.4718443365763055E-2</v>
      </c>
      <c r="AC287" s="3">
        <v>-5.4130615591860762E-3</v>
      </c>
      <c r="AD287" s="3">
        <v>-9.5887095410594064E-3</v>
      </c>
      <c r="AE287" s="3">
        <v>1.1293888085477859E-2</v>
      </c>
      <c r="AF287" s="3">
        <v>-2.9211864357184186E-2</v>
      </c>
      <c r="AG287" s="3">
        <v>-8.4295027316102934E-3</v>
      </c>
      <c r="AH287" s="3">
        <v>-1.959182426471117E-2</v>
      </c>
      <c r="AI287" s="3">
        <v>-1.3426445544267489E-2</v>
      </c>
      <c r="AJ287" s="3">
        <v>2.3162578640589498E-3</v>
      </c>
      <c r="AK287" s="3">
        <v>-1.9169329073482445E-2</v>
      </c>
      <c r="AL287" s="3">
        <v>8.1728575349181744E-3</v>
      </c>
      <c r="AM287" s="3">
        <v>1.4345172641116609E-2</v>
      </c>
      <c r="AN287" s="3">
        <v>4.692710973977892E-2</v>
      </c>
    </row>
    <row r="288" spans="1:40" x14ac:dyDescent="0.3">
      <c r="A288" s="101">
        <v>44727</v>
      </c>
      <c r="B288" s="3">
        <v>-1.5355069040010178E-2</v>
      </c>
      <c r="C288" s="3">
        <v>-3.5865903828940501E-4</v>
      </c>
      <c r="D288" s="3">
        <v>-3.6960497319203749E-3</v>
      </c>
      <c r="E288" s="3">
        <v>1.0139090593878493E-2</v>
      </c>
      <c r="F288" s="3">
        <v>1.8999616620132879E-2</v>
      </c>
      <c r="G288" s="3">
        <v>-1.8831840523196003E-2</v>
      </c>
      <c r="H288" s="3">
        <v>1.2514876334606252E-3</v>
      </c>
      <c r="I288" s="3">
        <v>-1.7261634237541935E-2</v>
      </c>
      <c r="J288" s="3">
        <v>-4.1389343238453467E-3</v>
      </c>
      <c r="K288" s="3">
        <v>-3.6960497319203749E-3</v>
      </c>
      <c r="L288" s="3">
        <v>-1.9173399067944918E-2</v>
      </c>
      <c r="M288" s="3">
        <v>2.1920210914515802E-2</v>
      </c>
      <c r="N288" s="3">
        <v>-1.6611652818289004E-2</v>
      </c>
      <c r="O288" s="3">
        <v>-3.5865903828940501E-4</v>
      </c>
      <c r="P288" s="3">
        <v>-1.1923379371519936E-2</v>
      </c>
      <c r="Q288" s="3">
        <v>1.2976485098760858E-2</v>
      </c>
      <c r="R288" s="3">
        <v>1.3676467675784917E-2</v>
      </c>
      <c r="S288" s="3">
        <v>0</v>
      </c>
      <c r="T288" s="3">
        <v>-2.3499023726645191E-3</v>
      </c>
      <c r="U288" s="3">
        <v>3.0234999515515813E-2</v>
      </c>
      <c r="V288" s="3">
        <v>-1.273875701683699E-3</v>
      </c>
      <c r="W288" s="3">
        <v>-1.775826944073863E-3</v>
      </c>
      <c r="X288" s="3">
        <v>-1.8237688860929925E-3</v>
      </c>
      <c r="Y288" s="3">
        <v>-3.3018903074372779E-3</v>
      </c>
      <c r="Z288" s="3">
        <v>-1.1421319796954297E-2</v>
      </c>
      <c r="AA288" s="3">
        <v>-2.2635631662714369E-2</v>
      </c>
      <c r="AB288" s="3">
        <v>1.7955203780387907E-2</v>
      </c>
      <c r="AC288" s="3">
        <v>-6.4913232226637601E-3</v>
      </c>
      <c r="AD288" s="3">
        <v>1.5615171720224548E-3</v>
      </c>
      <c r="AE288" s="3">
        <v>-3.7157000000227494E-2</v>
      </c>
      <c r="AF288" s="3">
        <v>-1.6328408770807641E-3</v>
      </c>
      <c r="AG288" s="3">
        <v>9.3959284116331004E-3</v>
      </c>
      <c r="AH288" s="3">
        <v>2.9142260661691764E-2</v>
      </c>
      <c r="AI288" s="3">
        <v>1.6957456662576129E-2</v>
      </c>
      <c r="AJ288" s="3">
        <v>3.1232191722115353E-4</v>
      </c>
      <c r="AK288" s="3">
        <v>-6.1889250814332233E-2</v>
      </c>
      <c r="AL288" s="3">
        <v>2.3618759926909414E-3</v>
      </c>
      <c r="AM288" s="3">
        <v>-1.0486656898862926E-2</v>
      </c>
      <c r="AN288" s="3">
        <v>5.6695630430406083E-3</v>
      </c>
    </row>
    <row r="289" spans="1:40" x14ac:dyDescent="0.3">
      <c r="A289" s="101">
        <v>44728</v>
      </c>
      <c r="B289" s="3">
        <v>1.8518549397224204E-2</v>
      </c>
      <c r="C289" s="3">
        <v>6.0291077156305198E-3</v>
      </c>
      <c r="D289" s="3">
        <v>4.372978439748652E-3</v>
      </c>
      <c r="E289" s="3">
        <v>-5.1792649818851681E-3</v>
      </c>
      <c r="F289" s="3">
        <v>5.4033484203578522E-2</v>
      </c>
      <c r="G289" s="3">
        <v>4.2211348215340332E-2</v>
      </c>
      <c r="H289" s="3">
        <v>-3.3649163198441138E-3</v>
      </c>
      <c r="I289" s="3">
        <v>4.3911977612301157E-3</v>
      </c>
      <c r="J289" s="3">
        <v>1.3350203559408767E-2</v>
      </c>
      <c r="K289" s="3">
        <v>4.372978439748652E-3</v>
      </c>
      <c r="L289" s="3">
        <v>1.0139090593878493E-2</v>
      </c>
      <c r="M289" s="3">
        <v>1.4371557579827419E-2</v>
      </c>
      <c r="N289" s="3">
        <v>-1.6892188994360832E-2</v>
      </c>
      <c r="O289" s="3">
        <v>6.0291077156305198E-3</v>
      </c>
      <c r="P289" s="3">
        <v>2.1511018966999952E-2</v>
      </c>
      <c r="Q289" s="3">
        <v>1.3610906968338872E-2</v>
      </c>
      <c r="R289" s="3">
        <v>-9.8650648450661817E-3</v>
      </c>
      <c r="S289" s="3">
        <v>-8.8990569464932178E-3</v>
      </c>
      <c r="T289" s="3">
        <v>1.6487903336341887E-2</v>
      </c>
      <c r="U289" s="3">
        <v>-3.3540194888460002E-2</v>
      </c>
      <c r="V289" s="3">
        <v>-3.8265331929063527E-2</v>
      </c>
      <c r="W289" s="3">
        <v>1.8314864794823391E-2</v>
      </c>
      <c r="X289" s="3">
        <v>-2.131546894031677E-3</v>
      </c>
      <c r="Y289" s="3">
        <v>3.3387457617163954E-2</v>
      </c>
      <c r="Z289" s="3">
        <v>3.0808729139922893E-2</v>
      </c>
      <c r="AA289" s="3">
        <v>1.265804093478053E-2</v>
      </c>
      <c r="AB289" s="3">
        <v>-9.1996613720671493E-3</v>
      </c>
      <c r="AC289" s="3">
        <v>-1.3809227476082798E-2</v>
      </c>
      <c r="AD289" s="3">
        <v>-2.1515463778950791E-2</v>
      </c>
      <c r="AE289" s="3">
        <v>3.0309275904887157E-3</v>
      </c>
      <c r="AF289" s="3">
        <v>-3.1308461024386947E-2</v>
      </c>
      <c r="AG289" s="3">
        <v>-1.1081560774891877E-2</v>
      </c>
      <c r="AH289" s="3">
        <v>-2.1035539777811797E-2</v>
      </c>
      <c r="AI289" s="3">
        <v>-4.1951937073612883E-3</v>
      </c>
      <c r="AJ289" s="3">
        <v>2.9346261454126282E-3</v>
      </c>
      <c r="AK289" s="3">
        <v>-3.1249999999999951E-2</v>
      </c>
      <c r="AL289" s="3">
        <v>-6.9227730154928753E-3</v>
      </c>
      <c r="AM289" s="3">
        <v>-9.7022385748017879E-3</v>
      </c>
      <c r="AN289" s="3">
        <v>9.4222283684440283E-3</v>
      </c>
    </row>
    <row r="290" spans="1:40" x14ac:dyDescent="0.3">
      <c r="A290" s="101">
        <v>44729</v>
      </c>
      <c r="B290" s="3">
        <v>1.0287023113139991E-2</v>
      </c>
      <c r="C290" s="3">
        <v>3.2107455785965609E-3</v>
      </c>
      <c r="D290" s="3">
        <v>2.9025641232059598E-4</v>
      </c>
      <c r="E290" s="3">
        <v>-5.0286526581407733E-2</v>
      </c>
      <c r="F290" s="3">
        <v>2.1660668991069971E-3</v>
      </c>
      <c r="G290" s="3">
        <v>-2.5755659096405415E-2</v>
      </c>
      <c r="H290" s="3">
        <v>-1.8111608515873569E-3</v>
      </c>
      <c r="I290" s="3">
        <v>-2.7027020424068328E-2</v>
      </c>
      <c r="J290" s="3">
        <v>2.9828045730985451E-3</v>
      </c>
      <c r="K290" s="3">
        <v>2.9025641232059598E-4</v>
      </c>
      <c r="L290" s="3">
        <v>-5.1792649818851681E-3</v>
      </c>
      <c r="M290" s="3">
        <v>1.0784478520099906E-2</v>
      </c>
      <c r="N290" s="3">
        <v>-1.3224130526330657E-2</v>
      </c>
      <c r="O290" s="3">
        <v>3.2107455785965609E-3</v>
      </c>
      <c r="P290" s="3">
        <v>1.5408834895162865E-3</v>
      </c>
      <c r="Q290" s="3">
        <v>-8.6888239022430321E-3</v>
      </c>
      <c r="R290" s="3">
        <v>1.2967069701774692E-2</v>
      </c>
      <c r="S290" s="3">
        <v>0</v>
      </c>
      <c r="T290" s="3">
        <v>-3.6044979728259334E-3</v>
      </c>
      <c r="U290" s="3">
        <v>4.3380202870736996E-3</v>
      </c>
      <c r="V290" s="3">
        <v>3.9787497451284201E-3</v>
      </c>
      <c r="W290" s="3">
        <v>-1.2332920543421536E-2</v>
      </c>
      <c r="X290" s="3">
        <v>1.0985688129386538E-2</v>
      </c>
      <c r="Y290" s="3">
        <v>3.1430637536740755E-4</v>
      </c>
      <c r="Z290" s="3">
        <v>2.3661270236612863E-2</v>
      </c>
      <c r="AA290" s="3">
        <v>6.3418330085964897E-3</v>
      </c>
      <c r="AB290" s="3">
        <v>1.3054918917127649E-2</v>
      </c>
      <c r="AC290" s="3">
        <v>1.3800142001448988E-2</v>
      </c>
      <c r="AD290" s="3">
        <v>2.1032585482705892E-2</v>
      </c>
      <c r="AE290" s="3">
        <v>2.6958185083654242E-2</v>
      </c>
      <c r="AF290" s="3">
        <v>3.1596773929323377E-2</v>
      </c>
      <c r="AG290" s="3">
        <v>2.5549082274723557E-2</v>
      </c>
      <c r="AH290" s="3">
        <v>1.4876003350492665E-2</v>
      </c>
      <c r="AI290" s="3">
        <v>9.4388771306548342E-3</v>
      </c>
      <c r="AJ290" s="3">
        <v>2.3033226889651441E-3</v>
      </c>
      <c r="AK290" s="3">
        <v>-7.1684587813620132E-3</v>
      </c>
      <c r="AL290" s="3">
        <v>3.0771034614969798E-3</v>
      </c>
      <c r="AM290" s="3">
        <v>9.8348969433473144E-3</v>
      </c>
      <c r="AN290" s="3">
        <v>-3.2347075927803416E-3</v>
      </c>
    </row>
    <row r="291" spans="1:40" x14ac:dyDescent="0.3">
      <c r="A291" s="101">
        <v>44732</v>
      </c>
      <c r="B291" s="3">
        <v>9.235092580859694E-3</v>
      </c>
      <c r="C291" s="3">
        <v>-6.4008374413091693E-3</v>
      </c>
      <c r="D291" s="3">
        <v>2.0471835763245523E-2</v>
      </c>
      <c r="E291" s="3">
        <v>-1.0326386018200313E-2</v>
      </c>
      <c r="F291" s="3">
        <v>8.2853217465716431E-3</v>
      </c>
      <c r="G291" s="3">
        <v>-3.989450872830487E-2</v>
      </c>
      <c r="H291" s="3">
        <v>2.0267031838412009E-3</v>
      </c>
      <c r="I291" s="3">
        <v>1.6340062116090796E-3</v>
      </c>
      <c r="J291" s="3">
        <v>-4.0891847752149123E-3</v>
      </c>
      <c r="K291" s="3">
        <v>2.0471835763245523E-2</v>
      </c>
      <c r="L291" s="3">
        <v>-5.0286526581407733E-2</v>
      </c>
      <c r="M291" s="3">
        <v>-5.230125632429407E-3</v>
      </c>
      <c r="N291" s="3">
        <v>-7.0198032719870681E-3</v>
      </c>
      <c r="O291" s="3">
        <v>-6.4008374413091693E-3</v>
      </c>
      <c r="P291" s="3">
        <v>4.102564102564015E-3</v>
      </c>
      <c r="Q291" s="3">
        <v>3.5059824774584782E-2</v>
      </c>
      <c r="R291" s="3">
        <v>-1.952807907974028E-3</v>
      </c>
      <c r="S291" s="3">
        <v>4.7394950683797713E-3</v>
      </c>
      <c r="T291" s="3">
        <v>-1.9638313600085354E-2</v>
      </c>
      <c r="U291" s="3">
        <v>-4.1465251015101604E-3</v>
      </c>
      <c r="V291" s="3">
        <v>1.4531043304718529E-2</v>
      </c>
      <c r="W291" s="3">
        <v>-2.6794920114060559E-2</v>
      </c>
      <c r="X291" s="3">
        <v>-2.7467551238528384E-2</v>
      </c>
      <c r="Y291" s="3">
        <v>-1.0179684618447113E-2</v>
      </c>
      <c r="Z291" s="3">
        <v>-7.2992700729927603E-3</v>
      </c>
      <c r="AA291" s="3">
        <v>4.3762822922001558E-2</v>
      </c>
      <c r="AB291" s="3">
        <v>-4.2038228000049575E-3</v>
      </c>
      <c r="AC291" s="3">
        <v>7.8191624289450385E-3</v>
      </c>
      <c r="AD291" s="3">
        <v>9.675304230854366E-3</v>
      </c>
      <c r="AE291" s="3">
        <v>4.1704758058366516E-3</v>
      </c>
      <c r="AF291" s="3">
        <v>1.5665160844878269E-2</v>
      </c>
      <c r="AG291" s="3">
        <v>-7.867045798384922E-3</v>
      </c>
      <c r="AH291" s="3">
        <v>1.6286978991501273E-3</v>
      </c>
      <c r="AI291" s="3">
        <v>7.7659718597878477E-3</v>
      </c>
      <c r="AJ291" s="3">
        <v>5.0932872877495795E-3</v>
      </c>
      <c r="AK291" s="3">
        <v>3.6101083032491009E-2</v>
      </c>
      <c r="AL291" s="3">
        <v>7.6365492705421272E-3</v>
      </c>
      <c r="AM291" s="3">
        <v>2.4814695504111845E-3</v>
      </c>
      <c r="AN291" s="3">
        <v>-2.1234950857812533E-4</v>
      </c>
    </row>
    <row r="292" spans="1:40" x14ac:dyDescent="0.3">
      <c r="A292" s="101">
        <v>44733</v>
      </c>
      <c r="B292" s="3">
        <v>-1.3608558286832289E-2</v>
      </c>
      <c r="C292" s="3">
        <v>7.7304410867274458E-3</v>
      </c>
      <c r="D292" s="3">
        <v>2.1305249024659651E-2</v>
      </c>
      <c r="E292" s="3">
        <v>5.5825707567731581E-4</v>
      </c>
      <c r="F292" s="3">
        <v>3.572661029882576E-3</v>
      </c>
      <c r="G292" s="3">
        <v>-3.2706720275113607E-2</v>
      </c>
      <c r="H292" s="3">
        <v>8.0972489852813986E-4</v>
      </c>
      <c r="I292" s="3">
        <v>1.957587818621663E-2</v>
      </c>
      <c r="J292" s="3">
        <v>1.7642641830546205E-2</v>
      </c>
      <c r="K292" s="3">
        <v>2.1305249024659651E-2</v>
      </c>
      <c r="L292" s="3">
        <v>-1.0326386018200313E-2</v>
      </c>
      <c r="M292" s="3">
        <v>-1.7455268505894107E-2</v>
      </c>
      <c r="N292" s="3">
        <v>4.0395300834265135E-3</v>
      </c>
      <c r="O292" s="3">
        <v>7.7304410867274458E-3</v>
      </c>
      <c r="P292" s="3">
        <v>1.5322267620021537E-3</v>
      </c>
      <c r="Q292" s="3">
        <v>-8.0061613760750536E-2</v>
      </c>
      <c r="R292" s="3">
        <v>-2.0652203848993262E-2</v>
      </c>
      <c r="S292" s="3">
        <v>-3.4621607279454224E-3</v>
      </c>
      <c r="T292" s="3">
        <v>1.6078053850511857E-2</v>
      </c>
      <c r="U292" s="3">
        <v>-1.9604487372687437E-2</v>
      </c>
      <c r="V292" s="3">
        <v>1.56250975129438E-2</v>
      </c>
      <c r="W292" s="3">
        <v>2.7532655416472908E-2</v>
      </c>
      <c r="X292" s="3">
        <v>-6.2073244504254126E-4</v>
      </c>
      <c r="Y292" s="3">
        <v>9.9034913686264717E-3</v>
      </c>
      <c r="Z292" s="3">
        <v>2.4509803921568107E-3</v>
      </c>
      <c r="AA292" s="3">
        <v>-2.5025530188203356E-2</v>
      </c>
      <c r="AB292" s="3">
        <v>7.8895223912704444E-3</v>
      </c>
      <c r="AC292" s="3">
        <v>-3.0298108162894622E-3</v>
      </c>
      <c r="AD292" s="3">
        <v>1.8548411911925538E-3</v>
      </c>
      <c r="AE292" s="3">
        <v>-1.4512837594768574E-2</v>
      </c>
      <c r="AF292" s="3">
        <v>-1.9797316831410557E-2</v>
      </c>
      <c r="AG292" s="3">
        <v>7.0484578392749908E-3</v>
      </c>
      <c r="AH292" s="3">
        <v>-8.1300833065655383E-3</v>
      </c>
      <c r="AI292" s="3">
        <v>-6.6575842820948876E-3</v>
      </c>
      <c r="AJ292" s="3">
        <v>-1.4214774608600589E-3</v>
      </c>
      <c r="AK292" s="3">
        <v>-4.5296167247386721E-2</v>
      </c>
      <c r="AL292" s="3">
        <v>3.2973255758602751E-3</v>
      </c>
      <c r="AM292" s="3">
        <v>6.2719752331874858E-3</v>
      </c>
      <c r="AN292" s="3">
        <v>-1.10769463614326E-2</v>
      </c>
    </row>
    <row r="293" spans="1:40" x14ac:dyDescent="0.3">
      <c r="A293" s="101">
        <v>44734</v>
      </c>
      <c r="B293" s="3">
        <v>-8.8012453456090423E-3</v>
      </c>
      <c r="C293" s="3">
        <v>2.91212941186718E-3</v>
      </c>
      <c r="D293" s="3">
        <v>7.3362926692553104E-3</v>
      </c>
      <c r="E293" s="3">
        <v>-1.7380496388487404E-2</v>
      </c>
      <c r="F293" s="3">
        <v>-4.2719868604210263E-3</v>
      </c>
      <c r="G293" s="3">
        <v>-3.4992701254010314E-2</v>
      </c>
      <c r="H293" s="3">
        <v>2.1131400441745749E-3</v>
      </c>
      <c r="I293" s="3">
        <v>9.5999489895397267E-3</v>
      </c>
      <c r="J293" s="3">
        <v>-2.2133720186353532E-3</v>
      </c>
      <c r="K293" s="3">
        <v>7.3362926692553104E-3</v>
      </c>
      <c r="L293" s="3">
        <v>5.5825707567731581E-4</v>
      </c>
      <c r="M293" s="3">
        <v>5.0727717236136186E-2</v>
      </c>
      <c r="N293" s="3">
        <v>5.6694329097518453E-3</v>
      </c>
      <c r="O293" s="3">
        <v>2.91212941186718E-3</v>
      </c>
      <c r="P293" s="3">
        <v>-1.4788423519203297E-2</v>
      </c>
      <c r="Q293" s="3">
        <v>3.9330545606550561E-2</v>
      </c>
      <c r="R293" s="3">
        <v>-1.5908234356289307E-2</v>
      </c>
      <c r="S293" s="3">
        <v>-2.4810784833813305E-4</v>
      </c>
      <c r="T293" s="3">
        <v>8.8196777838098449E-3</v>
      </c>
      <c r="U293" s="3">
        <v>1.9466242362949678E-3</v>
      </c>
      <c r="V293" s="3">
        <v>8.9742905243138139E-3</v>
      </c>
      <c r="W293" s="3">
        <v>6.503596849118427E-3</v>
      </c>
      <c r="X293" s="3">
        <v>6.8944004070061959E-2</v>
      </c>
      <c r="Y293" s="3">
        <v>-1.6029689262890529E-2</v>
      </c>
      <c r="Z293" s="3">
        <v>-9.7799511002445074E-3</v>
      </c>
      <c r="AA293" s="3">
        <v>-2.2676260480165817E-2</v>
      </c>
      <c r="AB293" s="3">
        <v>2.4100315620864631E-2</v>
      </c>
      <c r="AC293" s="3">
        <v>-1.2667190350957891E-2</v>
      </c>
      <c r="AD293" s="3">
        <v>4.0111411484686898E-3</v>
      </c>
      <c r="AE293" s="3">
        <v>-3.3058613891396062E-2</v>
      </c>
      <c r="AF293" s="3">
        <v>-1.6204813912045882E-2</v>
      </c>
      <c r="AG293" s="3">
        <v>1.9684951019905937E-2</v>
      </c>
      <c r="AH293" s="3">
        <v>0</v>
      </c>
      <c r="AI293" s="3">
        <v>7.6521076429366657E-3</v>
      </c>
      <c r="AJ293" s="3">
        <v>-3.0936066597469705E-4</v>
      </c>
      <c r="AK293" s="3">
        <v>-2.5547445255474553E-2</v>
      </c>
      <c r="AL293" s="3">
        <v>8.305668878161445E-3</v>
      </c>
      <c r="AM293" s="3">
        <v>1.3446066239036976E-2</v>
      </c>
      <c r="AN293" s="3">
        <v>1.1747775833701808E-3</v>
      </c>
    </row>
    <row r="294" spans="1:40" x14ac:dyDescent="0.3">
      <c r="A294" s="101">
        <v>44735</v>
      </c>
      <c r="B294" s="3">
        <v>-1.7518525405422619E-2</v>
      </c>
      <c r="C294" s="3">
        <v>-1.0835744494012938E-2</v>
      </c>
      <c r="D294" s="3">
        <v>7.0066419882599028E-3</v>
      </c>
      <c r="E294" s="3">
        <v>-6.4638139838982603E-3</v>
      </c>
      <c r="F294" s="3">
        <v>-9.6531737026057975E-3</v>
      </c>
      <c r="G294" s="3">
        <v>1.3182580408250492E-2</v>
      </c>
      <c r="H294" s="3">
        <v>-5.4505566380975783E-4</v>
      </c>
      <c r="I294" s="3">
        <v>3.5658005908486877E-3</v>
      </c>
      <c r="J294" s="3">
        <v>-1.2322167820874635E-3</v>
      </c>
      <c r="K294" s="3">
        <v>7.0066419882599028E-3</v>
      </c>
      <c r="L294" s="3">
        <v>-1.7380496388487404E-2</v>
      </c>
      <c r="M294" s="3">
        <v>-1.6297005500101923E-3</v>
      </c>
      <c r="N294" s="3">
        <v>2.136754837703278E-2</v>
      </c>
      <c r="O294" s="3">
        <v>-1.0835744494012938E-2</v>
      </c>
      <c r="P294" s="3">
        <v>-5.1765010351961891E-4</v>
      </c>
      <c r="Q294" s="3">
        <v>-4.4283417766820189E-2</v>
      </c>
      <c r="R294" s="3">
        <v>-7.5068752060098421E-5</v>
      </c>
      <c r="S294" s="3">
        <v>0</v>
      </c>
      <c r="T294" s="3">
        <v>7.7140348720567053E-3</v>
      </c>
      <c r="U294" s="3">
        <v>1.448246195512827E-2</v>
      </c>
      <c r="V294" s="3">
        <v>1.3977127668249387E-2</v>
      </c>
      <c r="W294" s="3">
        <v>1.0080196563434949E-2</v>
      </c>
      <c r="X294" s="3">
        <v>4.1255144756254893E-2</v>
      </c>
      <c r="Y294" s="3">
        <v>3.7053727956646025E-3</v>
      </c>
      <c r="Z294" s="3">
        <v>2.2222222222222188E-2</v>
      </c>
      <c r="AA294" s="3">
        <v>-4.2547950330987473E-3</v>
      </c>
      <c r="AB294" s="3">
        <v>-4.4919629552383784E-3</v>
      </c>
      <c r="AC294" s="3">
        <v>-9.1189309162193321E-3</v>
      </c>
      <c r="AD294" s="3">
        <v>-1.4443869243342925E-2</v>
      </c>
      <c r="AE294" s="3">
        <v>-1.6949152542372881E-2</v>
      </c>
      <c r="AF294" s="3">
        <v>-1.4323203766005382E-2</v>
      </c>
      <c r="AG294" s="3">
        <v>-1.372797141690151E-2</v>
      </c>
      <c r="AH294" s="3">
        <v>-8.1967233502438924E-3</v>
      </c>
      <c r="AI294" s="3">
        <v>-2.2886685258153565E-2</v>
      </c>
      <c r="AJ294" s="3">
        <v>9.2857068424465202E-4</v>
      </c>
      <c r="AK294" s="3">
        <v>-2.6217228464419415E-2</v>
      </c>
      <c r="AL294" s="3">
        <v>-6.178024910854266E-3</v>
      </c>
      <c r="AM294" s="3">
        <v>-9.1249199571146276E-3</v>
      </c>
      <c r="AN294" s="3">
        <v>-1.3711142739184263E-2</v>
      </c>
    </row>
    <row r="295" spans="1:40" x14ac:dyDescent="0.3">
      <c r="A295" s="101">
        <v>44736</v>
      </c>
      <c r="B295" s="3">
        <v>8.3048104382666237E-3</v>
      </c>
      <c r="C295" s="3">
        <v>1.6467364789992858E-3</v>
      </c>
      <c r="D295" s="3">
        <v>-1.6262815440624839E-3</v>
      </c>
      <c r="E295" s="3">
        <v>-4.3079405499357485E-3</v>
      </c>
      <c r="F295" s="3">
        <v>-9.0252671022932954E-3</v>
      </c>
      <c r="G295" s="3">
        <v>7.1466211774532856E-2</v>
      </c>
      <c r="H295" s="3">
        <v>-3.7833858235501191E-4</v>
      </c>
      <c r="I295" s="3">
        <v>-3.5925808560622378E-2</v>
      </c>
      <c r="J295" s="3">
        <v>-1.5545924438153832E-2</v>
      </c>
      <c r="K295" s="3">
        <v>-1.6262815440624839E-3</v>
      </c>
      <c r="L295" s="3">
        <v>-6.4638139838982603E-3</v>
      </c>
      <c r="M295" s="3">
        <v>-6.5292596012756984E-3</v>
      </c>
      <c r="N295" s="3">
        <v>-9.2585298847176166E-3</v>
      </c>
      <c r="O295" s="3">
        <v>1.6467364789992858E-3</v>
      </c>
      <c r="P295" s="3">
        <v>6.2144487941194855E-3</v>
      </c>
      <c r="Q295" s="3">
        <v>-2.2746362441070474E-2</v>
      </c>
      <c r="R295" s="3">
        <v>-2.2482970851148393E-2</v>
      </c>
      <c r="S295" s="3">
        <v>0</v>
      </c>
      <c r="T295" s="3">
        <v>1.2503190457291027E-2</v>
      </c>
      <c r="U295" s="3">
        <v>1.2186755129882981E-3</v>
      </c>
      <c r="V295" s="3">
        <v>-1.2531337151612443E-2</v>
      </c>
      <c r="W295" s="3">
        <v>-2.5076847778581327E-2</v>
      </c>
      <c r="X295" s="3">
        <v>-6.5290178571428659E-2</v>
      </c>
      <c r="Y295" s="3">
        <v>-9.1655718339663083E-3</v>
      </c>
      <c r="Z295" s="3">
        <v>-3.1400966183574859E-2</v>
      </c>
      <c r="AA295" s="3">
        <v>-9.8063202141957795E-3</v>
      </c>
      <c r="AB295" s="3">
        <v>-1.4076098959613637E-2</v>
      </c>
      <c r="AC295" s="3">
        <v>-9.5801750166102373E-3</v>
      </c>
      <c r="AD295" s="3">
        <v>-1.3096307143987471E-2</v>
      </c>
      <c r="AE295" s="3">
        <v>-1.4802980295566558E-2</v>
      </c>
      <c r="AF295" s="3">
        <v>-2.421905367783651E-2</v>
      </c>
      <c r="AG295" s="3">
        <v>-1.3484123531970368E-2</v>
      </c>
      <c r="AH295" s="3">
        <v>1.5702508355332746E-2</v>
      </c>
      <c r="AI295" s="3">
        <v>-1.6991059035899914E-2</v>
      </c>
      <c r="AJ295" s="3">
        <v>-1.1379692848828985E-2</v>
      </c>
      <c r="AK295" s="3">
        <v>-2.3076923076923096E-2</v>
      </c>
      <c r="AL295" s="3">
        <v>4.4109504104608791E-3</v>
      </c>
      <c r="AM295" s="3">
        <v>-2.328025365252237E-2</v>
      </c>
      <c r="AN295" s="3">
        <v>-1.5854235689075163E-2</v>
      </c>
    </row>
    <row r="296" spans="1:40" x14ac:dyDescent="0.3">
      <c r="A296" s="101">
        <v>44739</v>
      </c>
      <c r="B296" s="3">
        <v>1.3323659072788947E-2</v>
      </c>
      <c r="C296" s="3">
        <v>-1.4224273491409615E-2</v>
      </c>
      <c r="D296" s="3">
        <v>3.7471388573270432E-2</v>
      </c>
      <c r="E296" s="3">
        <v>-2.7460013822388073E-2</v>
      </c>
      <c r="F296" s="3">
        <v>5.464450075318694E-3</v>
      </c>
      <c r="G296" s="3">
        <v>4.8959926558019479E-2</v>
      </c>
      <c r="H296" s="3">
        <v>2.8300889602666027E-4</v>
      </c>
      <c r="I296" s="3">
        <v>-1.7199031526649367E-2</v>
      </c>
      <c r="J296" s="3">
        <v>-6.3918836368437931E-3</v>
      </c>
      <c r="K296" s="3">
        <v>3.7471388573270432E-2</v>
      </c>
      <c r="L296" s="3">
        <v>-4.3079405499357485E-3</v>
      </c>
      <c r="M296" s="3">
        <v>-1.5198151883305644E-2</v>
      </c>
      <c r="N296" s="3">
        <v>7.9972094970996426E-3</v>
      </c>
      <c r="O296" s="3">
        <v>-1.4224273491409615E-2</v>
      </c>
      <c r="P296" s="3">
        <v>9.7787442099844957E-3</v>
      </c>
      <c r="Q296" s="3">
        <v>-4.3104132676146257E-3</v>
      </c>
      <c r="R296" s="3">
        <v>2.3076882106689175E-2</v>
      </c>
      <c r="S296" s="3">
        <v>0</v>
      </c>
      <c r="T296" s="3">
        <v>2.2681770061875675E-3</v>
      </c>
      <c r="U296" s="3">
        <v>-2.1387586391418335E-2</v>
      </c>
      <c r="V296" s="3">
        <v>3.8071827225383457E-3</v>
      </c>
      <c r="W296" s="3">
        <v>-4.3569569509305683E-2</v>
      </c>
      <c r="X296" s="3">
        <v>1.1940597014924365E-3</v>
      </c>
      <c r="Y296" s="3">
        <v>-9.6357680945046327E-3</v>
      </c>
      <c r="Z296" s="3">
        <v>-2.8678304239401441E-2</v>
      </c>
      <c r="AA296" s="3">
        <v>3.1044844205904481E-3</v>
      </c>
      <c r="AB296" s="3">
        <v>-2.6914299962247184E-2</v>
      </c>
      <c r="AC296" s="3">
        <v>-1.234022731457114E-2</v>
      </c>
      <c r="AD296" s="3">
        <v>-1.8325405687731229E-2</v>
      </c>
      <c r="AE296" s="3">
        <v>1.9275537370322789E-2</v>
      </c>
      <c r="AF296" s="3">
        <v>-1.04242741026698E-2</v>
      </c>
      <c r="AG296" s="3">
        <v>4.9823589065255802E-2</v>
      </c>
      <c r="AH296" s="3">
        <v>-1.3913776330712219E-2</v>
      </c>
      <c r="AI296" s="3">
        <v>-1.5103592598739212E-2</v>
      </c>
      <c r="AJ296" s="3">
        <v>-1.2386736850832599E-2</v>
      </c>
      <c r="AK296" s="3">
        <v>7.8740157480315029E-2</v>
      </c>
      <c r="AL296" s="3">
        <v>-1.9655634069587789E-2</v>
      </c>
      <c r="AM296" s="3">
        <v>3.714866790046947E-3</v>
      </c>
      <c r="AN296" s="3">
        <v>-6.7270309451112013E-3</v>
      </c>
    </row>
    <row r="297" spans="1:40" x14ac:dyDescent="0.3">
      <c r="A297" s="101">
        <v>44740</v>
      </c>
      <c r="B297" s="3">
        <v>-3.0839111758664349E-2</v>
      </c>
      <c r="C297" s="3">
        <v>3.4080050926148732E-3</v>
      </c>
      <c r="D297" s="3">
        <v>8.1681920880533609E-3</v>
      </c>
      <c r="E297" s="3">
        <v>-4.1309562284713598E-3</v>
      </c>
      <c r="F297" s="3">
        <v>1.1594260944111751E-2</v>
      </c>
      <c r="G297" s="3">
        <v>-1.7112865540036062E-2</v>
      </c>
      <c r="H297" s="3">
        <v>1.2067084810470597E-3</v>
      </c>
      <c r="I297" s="3">
        <v>3.208336052806024E-2</v>
      </c>
      <c r="J297" s="3">
        <v>-9.0817455761165143E-3</v>
      </c>
      <c r="K297" s="3">
        <v>8.1681920880533609E-3</v>
      </c>
      <c r="L297" s="3">
        <v>-2.7460013822388073E-2</v>
      </c>
      <c r="M297" s="3">
        <v>2.273201203895692E-2</v>
      </c>
      <c r="N297" s="3">
        <v>-8.1795645457858803E-3</v>
      </c>
      <c r="O297" s="3">
        <v>3.4080050926148732E-3</v>
      </c>
      <c r="P297" s="3">
        <v>-4.0774768563977049E-2</v>
      </c>
      <c r="Q297" s="3">
        <v>1.3852819147123427E-2</v>
      </c>
      <c r="R297" s="3">
        <v>7.3609024957640143E-2</v>
      </c>
      <c r="S297" s="3">
        <v>0</v>
      </c>
      <c r="T297" s="3">
        <v>2.0869967518267765E-2</v>
      </c>
      <c r="U297" s="3">
        <v>8.2800320516535089E-2</v>
      </c>
      <c r="V297" s="3">
        <v>1.2642233094900951E-2</v>
      </c>
      <c r="W297" s="3">
        <v>1.0977861356282162E-3</v>
      </c>
      <c r="X297" s="3">
        <v>2.71317821367985E-2</v>
      </c>
      <c r="Y297" s="3">
        <v>8.4322696819390495E-3</v>
      </c>
      <c r="Z297" s="3">
        <v>-1.5404364569961502E-2</v>
      </c>
      <c r="AA297" s="3">
        <v>2.2097784515132564E-2</v>
      </c>
      <c r="AB297" s="3">
        <v>2.5974070432397772E-2</v>
      </c>
      <c r="AC297" s="3">
        <v>1.3978310824336756E-2</v>
      </c>
      <c r="AD297" s="3">
        <v>1.4483426801174525E-2</v>
      </c>
      <c r="AE297" s="3">
        <v>2.3301446456665788E-2</v>
      </c>
      <c r="AF297" s="3">
        <v>1.3042338617441831E-2</v>
      </c>
      <c r="AG297" s="3">
        <v>4.0319237308661722E-2</v>
      </c>
      <c r="AH297" s="3">
        <v>-3.6306868658608827E-3</v>
      </c>
      <c r="AI297" s="3">
        <v>3.6538835165630251E-3</v>
      </c>
      <c r="AJ297" s="3">
        <v>1.1845175668804777E-2</v>
      </c>
      <c r="AK297" s="3">
        <v>-2.9197080291970826E-2</v>
      </c>
      <c r="AL297" s="3">
        <v>1.4293584945821308E-2</v>
      </c>
      <c r="AM297" s="3">
        <v>-2.3108907585935906E-3</v>
      </c>
      <c r="AN297" s="3">
        <v>6.6486154933932517E-3</v>
      </c>
    </row>
    <row r="298" spans="1:40" x14ac:dyDescent="0.3">
      <c r="A298" s="101">
        <v>44741</v>
      </c>
      <c r="B298" s="3">
        <v>1.430687915237472E-2</v>
      </c>
      <c r="C298" s="3">
        <v>-3.5409185273071425E-3</v>
      </c>
      <c r="D298" s="3">
        <v>1.200528349064829E-2</v>
      </c>
      <c r="E298" s="3">
        <v>-5.7889824251323033E-3</v>
      </c>
      <c r="F298" s="3">
        <v>9.6704603550575325E-3</v>
      </c>
      <c r="G298" s="3">
        <v>-0.12317361531729824</v>
      </c>
      <c r="H298" s="3">
        <v>-3.6464043252960356E-3</v>
      </c>
      <c r="I298" s="3">
        <v>-6.4593788545619446E-3</v>
      </c>
      <c r="J298" s="3">
        <v>2.6732151168452757E-3</v>
      </c>
      <c r="K298" s="3">
        <v>1.200528349064829E-2</v>
      </c>
      <c r="L298" s="3">
        <v>-4.1309562284713598E-3</v>
      </c>
      <c r="M298" s="3">
        <v>-2.3042434277274995E-2</v>
      </c>
      <c r="N298" s="3">
        <v>1.7845982144845916E-2</v>
      </c>
      <c r="O298" s="3">
        <v>-3.5409185273071425E-3</v>
      </c>
      <c r="P298" s="3">
        <v>3.9851222104144525E-2</v>
      </c>
      <c r="Q298" s="3">
        <v>1.7933463483677144E-2</v>
      </c>
      <c r="R298" s="3">
        <v>5.0423788363758514E-2</v>
      </c>
      <c r="S298" s="3">
        <v>0</v>
      </c>
      <c r="T298" s="3">
        <v>-1.6009781257681151E-2</v>
      </c>
      <c r="U298" s="3">
        <v>3.1506381700053258E-2</v>
      </c>
      <c r="V298" s="3">
        <v>2.496870155286705E-2</v>
      </c>
      <c r="W298" s="3">
        <v>-5.317982566536561E-2</v>
      </c>
      <c r="X298" s="3">
        <v>-1.7706849993995556E-2</v>
      </c>
      <c r="Y298" s="3">
        <v>-5.1457065340856584E-3</v>
      </c>
      <c r="Z298" s="3">
        <v>-1.9556714471968755E-2</v>
      </c>
      <c r="AA298" s="3">
        <v>-7.8880194909791319E-3</v>
      </c>
      <c r="AB298" s="3">
        <v>-5.1319566079871546E-3</v>
      </c>
      <c r="AC298" s="3">
        <v>1.3375891080303258E-2</v>
      </c>
      <c r="AD298" s="3">
        <v>4.7588289282331124E-3</v>
      </c>
      <c r="AE298" s="3">
        <v>1.1816857282353019E-2</v>
      </c>
      <c r="AF298" s="3">
        <v>2.2530159559204569E-2</v>
      </c>
      <c r="AG298" s="3">
        <v>-2.9067460637868386E-2</v>
      </c>
      <c r="AH298" s="3">
        <v>1.0351990634044824E-2</v>
      </c>
      <c r="AI298" s="3">
        <v>9.5427913651283461E-3</v>
      </c>
      <c r="AJ298" s="3">
        <v>8.3885567297727337E-3</v>
      </c>
      <c r="AK298" s="3">
        <v>2.631578947368415E-2</v>
      </c>
      <c r="AL298" s="3">
        <v>1.1433835528702179E-2</v>
      </c>
      <c r="AM298" s="3">
        <v>-3.2802906305686615E-2</v>
      </c>
      <c r="AN298" s="3">
        <v>3.3611142984279877E-3</v>
      </c>
    </row>
    <row r="299" spans="1:40" x14ac:dyDescent="0.3">
      <c r="A299" s="101">
        <v>44742</v>
      </c>
      <c r="B299" s="3">
        <v>2.1887840074839037E-3</v>
      </c>
      <c r="C299" s="3">
        <v>1.2618500988045105E-2</v>
      </c>
      <c r="D299" s="3">
        <v>6.2204149352437458E-3</v>
      </c>
      <c r="E299" s="3">
        <v>-4.6766439413439007E-3</v>
      </c>
      <c r="F299" s="3">
        <v>1.5963087012544862E-2</v>
      </c>
      <c r="G299" s="3">
        <v>2.0674342324783435E-2</v>
      </c>
      <c r="H299" s="3">
        <v>1.705149277447358E-3</v>
      </c>
      <c r="I299" s="3">
        <v>-4.469707420908282E-3</v>
      </c>
      <c r="J299" s="3">
        <v>1.3329996221054803E-2</v>
      </c>
      <c r="K299" s="3">
        <v>6.2204149352437458E-3</v>
      </c>
      <c r="L299" s="3">
        <v>-5.7889824251323033E-3</v>
      </c>
      <c r="M299" s="3">
        <v>1.2523439782926455E-2</v>
      </c>
      <c r="N299" s="3">
        <v>-4.8702750507288346E-3</v>
      </c>
      <c r="O299" s="3">
        <v>1.2618500988045105E-2</v>
      </c>
      <c r="P299" s="3">
        <v>-6.1317833418497681E-3</v>
      </c>
      <c r="Q299" s="3">
        <v>8.3883536812756696E-4</v>
      </c>
      <c r="R299" s="3">
        <v>-1.8267951262936257E-2</v>
      </c>
      <c r="S299" s="3">
        <v>5.5848608067053496E-2</v>
      </c>
      <c r="T299" s="3">
        <v>0</v>
      </c>
      <c r="U299" s="3">
        <v>-1.3999339808129877E-2</v>
      </c>
      <c r="V299" s="3">
        <v>-6.0900880016458497E-3</v>
      </c>
      <c r="W299" s="3">
        <v>1.1581051996666185E-3</v>
      </c>
      <c r="X299" s="3">
        <v>-2.0390011820331049E-2</v>
      </c>
      <c r="Y299" s="3">
        <v>-1.189626963077859E-2</v>
      </c>
      <c r="Z299" s="3">
        <v>-2.5265957446808446E-2</v>
      </c>
      <c r="AA299" s="3">
        <v>-9.20201009208476E-3</v>
      </c>
      <c r="AB299" s="3">
        <v>9.6286466301459452E-3</v>
      </c>
      <c r="AC299" s="3">
        <v>1.4325710777278641E-2</v>
      </c>
      <c r="AD299" s="3">
        <v>-1.1367246604833178E-2</v>
      </c>
      <c r="AE299" s="3">
        <v>-3.5060549652233095E-3</v>
      </c>
      <c r="AF299" s="3">
        <v>-1.0411529088563113E-2</v>
      </c>
      <c r="AG299" s="3">
        <v>-4.1579211708075063E-3</v>
      </c>
      <c r="AH299" s="3">
        <v>4.0984031300817046E-3</v>
      </c>
      <c r="AI299" s="3">
        <v>-5.4743050137256198E-5</v>
      </c>
      <c r="AJ299" s="3">
        <v>1.6141053450616512E-2</v>
      </c>
      <c r="AK299" s="3">
        <v>-2.5641025641025581E-2</v>
      </c>
      <c r="AL299" s="3">
        <v>5.4902661222363683E-3</v>
      </c>
      <c r="AM299" s="3">
        <v>-3.62131491909234E-3</v>
      </c>
      <c r="AN299" s="3">
        <v>1.4735635800949243E-2</v>
      </c>
    </row>
    <row r="300" spans="1:40" x14ac:dyDescent="0.3">
      <c r="A300" s="101">
        <v>44743</v>
      </c>
      <c r="B300" s="3">
        <v>-6.7945048369678048E-3</v>
      </c>
      <c r="C300" s="3">
        <v>2.005536751876797E-3</v>
      </c>
      <c r="D300" s="3">
        <v>1.4628804601138507E-2</v>
      </c>
      <c r="E300" s="3">
        <v>7.830933683592058E-3</v>
      </c>
      <c r="F300" s="3">
        <v>-6.6340728597170575E-3</v>
      </c>
      <c r="G300" s="3">
        <v>-3.8260534921087976E-2</v>
      </c>
      <c r="H300" s="3">
        <v>-3.9059568400297328E-3</v>
      </c>
      <c r="I300" s="3">
        <v>0</v>
      </c>
      <c r="J300" s="3">
        <v>1.1024714678683621E-2</v>
      </c>
      <c r="K300" s="3">
        <v>1.4628804601138507E-2</v>
      </c>
      <c r="L300" s="3">
        <v>-4.6766439413439007E-3</v>
      </c>
      <c r="M300" s="3">
        <v>-3.1539848754477504E-2</v>
      </c>
      <c r="N300" s="3">
        <v>2.3135455542777276E-3</v>
      </c>
      <c r="O300" s="3">
        <v>2.005536751876797E-3</v>
      </c>
      <c r="P300" s="3">
        <v>-2.3136297010987315E-2</v>
      </c>
      <c r="Q300" s="3">
        <v>-3.0175987260172885E-2</v>
      </c>
      <c r="R300" s="3">
        <v>-1.5280085196815174E-2</v>
      </c>
      <c r="S300" s="3">
        <v>-9.4034913538921707E-3</v>
      </c>
      <c r="T300" s="3">
        <v>8.2602216849059738E-3</v>
      </c>
      <c r="U300" s="3">
        <v>1.5004851974795163E-2</v>
      </c>
      <c r="V300" s="3">
        <v>4.90192355228095E-3</v>
      </c>
      <c r="W300" s="3">
        <v>5.4945027083361651E-2</v>
      </c>
      <c r="X300" s="3">
        <v>2.4132698393200692E-2</v>
      </c>
      <c r="Y300" s="3">
        <v>2.8266648848175667E-2</v>
      </c>
      <c r="Z300" s="3">
        <v>1.5006821282401136E-2</v>
      </c>
      <c r="AA300" s="3">
        <v>-9.0564227803014881E-3</v>
      </c>
      <c r="AB300" s="3">
        <v>1.1989169510258845E-2</v>
      </c>
      <c r="AC300" s="3">
        <v>5.2962803308962095E-2</v>
      </c>
      <c r="AD300" s="3">
        <v>4.1521295739256406E-3</v>
      </c>
      <c r="AE300" s="3">
        <v>0.12599548497794583</v>
      </c>
      <c r="AF300" s="3">
        <v>2.9360820380503962E-3</v>
      </c>
      <c r="AG300" s="3">
        <v>9.1857616206363155E-3</v>
      </c>
      <c r="AH300" s="3">
        <v>2.8571475755147284E-2</v>
      </c>
      <c r="AI300" s="3">
        <v>2.1856736619196439E-2</v>
      </c>
      <c r="AJ300" s="3">
        <v>1.6373446877006346E-2</v>
      </c>
      <c r="AK300" s="3">
        <v>-3.0075187969924838E-2</v>
      </c>
      <c r="AL300" s="3">
        <v>3.3657378565390847E-2</v>
      </c>
      <c r="AM300" s="3">
        <v>7.1125389886823294E-3</v>
      </c>
      <c r="AN300" s="3">
        <v>5.1153837347305353E-3</v>
      </c>
    </row>
    <row r="301" spans="1:40" x14ac:dyDescent="0.3">
      <c r="A301" s="101">
        <v>44746</v>
      </c>
      <c r="B301" s="3">
        <v>2.4432237431280509E-3</v>
      </c>
      <c r="C301" s="3">
        <v>1.579571474228476E-2</v>
      </c>
      <c r="D301" s="3">
        <v>-2.9892534633476367E-4</v>
      </c>
      <c r="E301" s="3">
        <v>-2.102480220596057E-2</v>
      </c>
      <c r="F301" s="3">
        <v>8.7873426865707482E-3</v>
      </c>
      <c r="G301" s="3">
        <v>-1.757097052139794E-2</v>
      </c>
      <c r="H301" s="3">
        <v>1.2191906081226126E-3</v>
      </c>
      <c r="I301" s="3">
        <v>-8.1639882813903724E-4</v>
      </c>
      <c r="J301" s="3">
        <v>4.5848927622159589E-3</v>
      </c>
      <c r="K301" s="3">
        <v>-2.9892534633476367E-4</v>
      </c>
      <c r="L301" s="3">
        <v>7.830933683592058E-3</v>
      </c>
      <c r="M301" s="3">
        <v>-3.1502767134950982E-2</v>
      </c>
      <c r="N301" s="3">
        <v>-1.2872816288450713E-2</v>
      </c>
      <c r="O301" s="3">
        <v>1.579571474228476E-2</v>
      </c>
      <c r="P301" s="3">
        <v>-2.631526315789457E-3</v>
      </c>
      <c r="Q301" s="3">
        <v>3.1979228218917119E-2</v>
      </c>
      <c r="R301" s="3">
        <v>-3.448276314825461E-2</v>
      </c>
      <c r="S301" s="3">
        <v>0</v>
      </c>
      <c r="T301" s="3">
        <v>3.972222677077036E-3</v>
      </c>
      <c r="U301" s="3">
        <v>7.788936351123146E-3</v>
      </c>
      <c r="V301" s="3">
        <v>-1.3414633531760787E-2</v>
      </c>
      <c r="W301" s="3">
        <v>4.6052625168844265E-2</v>
      </c>
      <c r="X301" s="3">
        <v>8.8364945850811522E-3</v>
      </c>
      <c r="Y301" s="3">
        <v>-2.4816991084326031E-3</v>
      </c>
      <c r="Z301" s="3">
        <v>1.6129032258064412E-2</v>
      </c>
      <c r="AA301" s="3">
        <v>2.213306838136957E-2</v>
      </c>
      <c r="AB301" s="3">
        <v>2.8945462667138355E-3</v>
      </c>
      <c r="AC301" s="3">
        <v>7.2202653803986484E-3</v>
      </c>
      <c r="AD301" s="3">
        <v>1.5902573990088844E-3</v>
      </c>
      <c r="AE301" s="3">
        <v>1.2350904832904965E-2</v>
      </c>
      <c r="AF301" s="3">
        <v>2.8543607543894092E-2</v>
      </c>
      <c r="AG301" s="3">
        <v>-8.274762101779078E-3</v>
      </c>
      <c r="AH301" s="3">
        <v>-1.2142988339802588E-2</v>
      </c>
      <c r="AI301" s="3">
        <v>-1.3421691831393941E-2</v>
      </c>
      <c r="AJ301" s="3">
        <v>-7.6340883867916367E-3</v>
      </c>
      <c r="AK301" s="3">
        <v>3.8759689922479791E-3</v>
      </c>
      <c r="AL301" s="3">
        <v>1.3267741623660909E-2</v>
      </c>
      <c r="AM301" s="3">
        <v>2.0954522740676534E-3</v>
      </c>
      <c r="AN301" s="3">
        <v>1.18086329974587E-2</v>
      </c>
    </row>
    <row r="302" spans="1:40" x14ac:dyDescent="0.3">
      <c r="A302" s="101">
        <v>44747</v>
      </c>
      <c r="B302" s="3">
        <v>1.7059644391273887E-3</v>
      </c>
      <c r="C302" s="3">
        <v>-9.8509061522817579E-3</v>
      </c>
      <c r="D302" s="3">
        <v>2.0631448842341086E-2</v>
      </c>
      <c r="E302" s="3">
        <v>4.9023530466194764E-3</v>
      </c>
      <c r="F302" s="3">
        <v>-3.484209911103869E-4</v>
      </c>
      <c r="G302" s="3">
        <v>-3.0562424558420426E-2</v>
      </c>
      <c r="H302" s="3">
        <v>3.4444661077533824E-3</v>
      </c>
      <c r="I302" s="3">
        <v>-4.9018930869044403E-3</v>
      </c>
      <c r="J302" s="3">
        <v>2.4677539747153569E-4</v>
      </c>
      <c r="K302" s="3">
        <v>2.0631448842341086E-2</v>
      </c>
      <c r="L302" s="3">
        <v>-2.102480220596057E-2</v>
      </c>
      <c r="M302" s="3">
        <v>-2.6593384615384689E-2</v>
      </c>
      <c r="N302" s="3">
        <v>-1.609862026798373E-2</v>
      </c>
      <c r="O302" s="3">
        <v>-9.8509061522817579E-3</v>
      </c>
      <c r="P302" s="3">
        <v>2.2691186137668341E-2</v>
      </c>
      <c r="Q302" s="3">
        <v>-6.7001700674386103E-3</v>
      </c>
      <c r="R302" s="3">
        <v>0</v>
      </c>
      <c r="S302" s="3">
        <v>0</v>
      </c>
      <c r="T302" s="3">
        <v>2.819001551945851E-2</v>
      </c>
      <c r="U302" s="3">
        <v>-3.4542656977428726E-2</v>
      </c>
      <c r="V302" s="3">
        <v>1.7305388689299084E-2</v>
      </c>
      <c r="W302" s="3">
        <v>-4.0880546494710325E-2</v>
      </c>
      <c r="X302" s="3">
        <v>-0.12116788321167879</v>
      </c>
      <c r="Y302" s="3">
        <v>-1.0142874781285945E-2</v>
      </c>
      <c r="Z302" s="3">
        <v>-5.2910052910052959E-3</v>
      </c>
      <c r="AA302" s="3">
        <v>-1.952494920717842E-2</v>
      </c>
      <c r="AB302" s="3">
        <v>-1.4900456310241027E-2</v>
      </c>
      <c r="AC302" s="3">
        <v>-1.2484543608336163E-2</v>
      </c>
      <c r="AD302" s="3">
        <v>-6.6687939158469262E-3</v>
      </c>
      <c r="AE302" s="3">
        <v>-4.1981240875912373E-2</v>
      </c>
      <c r="AF302" s="3">
        <v>-1.9449608341837742E-2</v>
      </c>
      <c r="AG302" s="3">
        <v>-3.7546935233497445E-3</v>
      </c>
      <c r="AH302" s="3">
        <v>6.6682518690462213E-3</v>
      </c>
      <c r="AI302" s="3">
        <v>-5.311640827545705E-3</v>
      </c>
      <c r="AJ302" s="3">
        <v>-3.149614565658705E-3</v>
      </c>
      <c r="AK302" s="3">
        <v>1.158301158301168E-2</v>
      </c>
      <c r="AL302" s="3">
        <v>-2.0394694954726473E-2</v>
      </c>
      <c r="AM302" s="3">
        <v>4.6854402734891375E-3</v>
      </c>
      <c r="AN302" s="3">
        <v>-1.9846873953547037E-2</v>
      </c>
    </row>
    <row r="303" spans="1:40" x14ac:dyDescent="0.3">
      <c r="A303" s="101">
        <v>44748</v>
      </c>
      <c r="B303" s="3">
        <v>-1.0948867636501635E-2</v>
      </c>
      <c r="C303" s="3">
        <v>-8.5263875336572209E-4</v>
      </c>
      <c r="D303" s="3">
        <v>2.5929335368758614E-3</v>
      </c>
      <c r="E303" s="3">
        <v>-3.3451163470543159E-2</v>
      </c>
      <c r="F303" s="3">
        <v>-4.5311882516808214E-3</v>
      </c>
      <c r="G303" s="3">
        <v>-2.5820215430205585E-3</v>
      </c>
      <c r="H303" s="3">
        <v>1.0771748022906427E-3</v>
      </c>
      <c r="I303" s="3">
        <v>-9.4418290154573651E-3</v>
      </c>
      <c r="J303" s="3">
        <v>2.8363602239040095E-3</v>
      </c>
      <c r="K303" s="3">
        <v>2.5929335368758614E-3</v>
      </c>
      <c r="L303" s="3">
        <v>4.9023530466194764E-3</v>
      </c>
      <c r="M303" s="3">
        <v>-2.0997967464484811E-2</v>
      </c>
      <c r="N303" s="3">
        <v>9.5977281617671811E-3</v>
      </c>
      <c r="O303" s="3">
        <v>-8.5263875336572209E-4</v>
      </c>
      <c r="P303" s="3">
        <v>1.1868008868318255E-2</v>
      </c>
      <c r="Q303" s="3">
        <v>2.4452014327514465E-2</v>
      </c>
      <c r="R303" s="3">
        <v>-1.0714323673522966E-2</v>
      </c>
      <c r="S303" s="3">
        <v>-2.2322712160991257E-2</v>
      </c>
      <c r="T303" s="3">
        <v>6.4933784073517107E-3</v>
      </c>
      <c r="U303" s="3">
        <v>2.6302897886820383E-2</v>
      </c>
      <c r="V303" s="3">
        <v>2.4301151126555932E-3</v>
      </c>
      <c r="W303" s="3">
        <v>3.2786373672078128E-3</v>
      </c>
      <c r="X303" s="3">
        <v>0.13156149501661124</v>
      </c>
      <c r="Y303" s="3">
        <v>1.6755494190314002E-3</v>
      </c>
      <c r="Z303" s="3">
        <v>-9.3085106382977921E-3</v>
      </c>
      <c r="AA303" s="3">
        <v>3.4120382251682764E-3</v>
      </c>
      <c r="AB303" s="3">
        <v>-1.2195886678881751E-2</v>
      </c>
      <c r="AC303" s="3">
        <v>1.4871811613995246E-2</v>
      </c>
      <c r="AD303" s="3">
        <v>1.758320903301611E-2</v>
      </c>
      <c r="AE303" s="3">
        <v>1.9548536251262971E-2</v>
      </c>
      <c r="AF303" s="3">
        <v>7.498674402380676E-3</v>
      </c>
      <c r="AG303" s="3">
        <v>-1.5075335639670753E-2</v>
      </c>
      <c r="AH303" s="3">
        <v>-2.3941818909822637E-3</v>
      </c>
      <c r="AI303" s="3">
        <v>-2.1796425240692991E-3</v>
      </c>
      <c r="AJ303" s="3">
        <v>5.4079297852690934E-3</v>
      </c>
      <c r="AK303" s="3">
        <v>-2.2900763358778647E-2</v>
      </c>
      <c r="AL303" s="3">
        <v>-3.0336596199607808E-3</v>
      </c>
      <c r="AM303" s="3">
        <v>7.5160436355681389E-4</v>
      </c>
      <c r="AN303" s="3">
        <v>1.0837333859021008E-3</v>
      </c>
    </row>
    <row r="304" spans="1:40" x14ac:dyDescent="0.3">
      <c r="A304" s="101">
        <v>44749</v>
      </c>
      <c r="B304" s="3">
        <v>-3.4440536974967399E-3</v>
      </c>
      <c r="C304" s="3">
        <v>7.1402219579685166E-3</v>
      </c>
      <c r="D304" s="3">
        <v>1.6288573868091204E-3</v>
      </c>
      <c r="E304" s="3">
        <v>4.3261388038164771E-3</v>
      </c>
      <c r="F304" s="3">
        <v>-1.5056024380298487E-2</v>
      </c>
      <c r="G304" s="3">
        <v>-1.0271427974947768E-2</v>
      </c>
      <c r="H304" s="3">
        <v>-2.8739154714720388E-3</v>
      </c>
      <c r="I304" s="3">
        <v>-2.3207603316297464E-2</v>
      </c>
      <c r="J304" s="3">
        <v>1.2174012023091195E-2</v>
      </c>
      <c r="K304" s="3">
        <v>1.6288573868091204E-3</v>
      </c>
      <c r="L304" s="3">
        <v>-3.3451163470543159E-2</v>
      </c>
      <c r="M304" s="3">
        <v>1.6374515305015869E-2</v>
      </c>
      <c r="N304" s="3">
        <v>8.0579683121927322E-3</v>
      </c>
      <c r="O304" s="3">
        <v>7.1402219579685166E-3</v>
      </c>
      <c r="P304" s="3">
        <v>-1.2238653123985154E-2</v>
      </c>
      <c r="Q304" s="3">
        <v>-2.386838425376674E-2</v>
      </c>
      <c r="R304" s="3">
        <v>2.3754467913262616E-2</v>
      </c>
      <c r="S304" s="3">
        <v>1.2024518370472893E-2</v>
      </c>
      <c r="T304" s="3">
        <v>-2.652320408067272E-2</v>
      </c>
      <c r="U304" s="3">
        <v>-1.9738909584466491E-2</v>
      </c>
      <c r="V304" s="3">
        <v>-2.0606104078427952E-2</v>
      </c>
      <c r="W304" s="3">
        <v>-6.5358460652796815E-3</v>
      </c>
      <c r="X304" s="3">
        <v>2.0258337631875005E-2</v>
      </c>
      <c r="Y304" s="3">
        <v>6.4395550735157046E-5</v>
      </c>
      <c r="Z304" s="3">
        <v>0</v>
      </c>
      <c r="AA304" s="3">
        <v>4.6941184328272684E-2</v>
      </c>
      <c r="AB304" s="3">
        <v>4.5524823601722341E-3</v>
      </c>
      <c r="AC304" s="3">
        <v>-4.00771325548573E-2</v>
      </c>
      <c r="AD304" s="3">
        <v>1.6650902892479419E-2</v>
      </c>
      <c r="AE304" s="3">
        <v>-4.0034161972445879E-2</v>
      </c>
      <c r="AF304" s="3">
        <v>9.604851880926869E-4</v>
      </c>
      <c r="AG304" s="3">
        <v>-2.3809566326530602E-2</v>
      </c>
      <c r="AH304" s="3">
        <v>-3.2799983686511755E-2</v>
      </c>
      <c r="AI304" s="3">
        <v>1.3106265833170685E-3</v>
      </c>
      <c r="AJ304" s="3">
        <v>9.2470459310884049E-3</v>
      </c>
      <c r="AK304" s="3">
        <v>8.5937499999999903E-2</v>
      </c>
      <c r="AL304" s="3">
        <v>1.1658252768887232E-3</v>
      </c>
      <c r="AM304" s="3">
        <v>-9.7246064253711968E-3</v>
      </c>
      <c r="AN304" s="3">
        <v>-8.3739392106280709E-3</v>
      </c>
    </row>
    <row r="305" spans="1:40" x14ac:dyDescent="0.3">
      <c r="A305" s="101">
        <v>44750</v>
      </c>
      <c r="B305" s="3">
        <v>-2.468375601278005E-4</v>
      </c>
      <c r="C305" s="3">
        <v>-6.0261807829942761E-3</v>
      </c>
      <c r="D305" s="3">
        <v>-4.6117000580468553E-3</v>
      </c>
      <c r="E305" s="3">
        <v>-4.4510640121298356E-3</v>
      </c>
      <c r="F305" s="3">
        <v>1.3864179478937887E-2</v>
      </c>
      <c r="G305" s="3">
        <v>9.9983592220236721E-3</v>
      </c>
      <c r="H305" s="3">
        <v>-3.4661512403015662E-3</v>
      </c>
      <c r="I305" s="3">
        <v>1.4000916416981755E-2</v>
      </c>
      <c r="J305" s="3">
        <v>-1.5792688494749429E-3</v>
      </c>
      <c r="K305" s="3">
        <v>-4.6117000580468553E-3</v>
      </c>
      <c r="L305" s="3">
        <v>4.3261388038164771E-3</v>
      </c>
      <c r="M305" s="3">
        <v>1.0437916950306245E-2</v>
      </c>
      <c r="N305" s="3">
        <v>8.9893641073621869E-5</v>
      </c>
      <c r="O305" s="3">
        <v>-6.0261807829942761E-3</v>
      </c>
      <c r="P305" s="3">
        <v>-1.6520494758879921E-2</v>
      </c>
      <c r="Q305" s="3">
        <v>2.2765647132473275E-2</v>
      </c>
      <c r="R305" s="3">
        <v>-1.9747509189178385E-3</v>
      </c>
      <c r="S305" s="3">
        <v>0</v>
      </c>
      <c r="T305" s="3">
        <v>2.1600295156571615E-2</v>
      </c>
      <c r="U305" s="3">
        <v>-3.1178985294644586E-2</v>
      </c>
      <c r="V305" s="3">
        <v>-3.7128431806229241E-3</v>
      </c>
      <c r="W305" s="3">
        <v>-2.2478053900898923E-2</v>
      </c>
      <c r="X305" s="3">
        <v>8.9208920863309282E-3</v>
      </c>
      <c r="Y305" s="3">
        <v>-1.4796725234216119E-2</v>
      </c>
      <c r="Z305" s="3">
        <v>-8.053691275167852E-3</v>
      </c>
      <c r="AA305" s="3">
        <v>1.454193210181047E-2</v>
      </c>
      <c r="AB305" s="3">
        <v>1.5104781283826771E-3</v>
      </c>
      <c r="AC305" s="3">
        <v>-5.6374719818533345E-3</v>
      </c>
      <c r="AD305" s="3">
        <v>-8.0346778681470443E-3</v>
      </c>
      <c r="AE305" s="3">
        <v>-4.7353220008631403E-2</v>
      </c>
      <c r="AF305" s="3">
        <v>-1.8229914191043056E-2</v>
      </c>
      <c r="AG305" s="3">
        <v>5.2265246178799258E-3</v>
      </c>
      <c r="AH305" s="3">
        <v>4.7973509215702655E-2</v>
      </c>
      <c r="AI305" s="3">
        <v>-7.1444057602367767E-3</v>
      </c>
      <c r="AJ305" s="3">
        <v>3.113863201837173E-3</v>
      </c>
      <c r="AK305" s="3">
        <v>-5.7553956834532266E-2</v>
      </c>
      <c r="AL305" s="3">
        <v>-9.6638288931963894E-3</v>
      </c>
      <c r="AM305" s="3">
        <v>6.4560175012154247E-3</v>
      </c>
      <c r="AN305" s="3">
        <v>-7.5648908024079337E-2</v>
      </c>
    </row>
    <row r="306" spans="1:40" x14ac:dyDescent="0.3">
      <c r="A306" s="101">
        <v>44753</v>
      </c>
      <c r="B306" s="3">
        <v>7.0885267079331604E-3</v>
      </c>
      <c r="C306" s="3">
        <v>4.4224032861846074E-3</v>
      </c>
      <c r="D306" s="3">
        <v>3.8224648719039109E-3</v>
      </c>
      <c r="E306" s="3">
        <v>-5.720794540930013E-3</v>
      </c>
      <c r="F306" s="3">
        <v>-1.9284718699294916E-2</v>
      </c>
      <c r="G306" s="3">
        <v>-4.6781658296952355E-2</v>
      </c>
      <c r="H306" s="3">
        <v>-3.5810113872735551E-3</v>
      </c>
      <c r="I306" s="3">
        <v>-5.4392980993319406E-3</v>
      </c>
      <c r="J306" s="3">
        <v>1.4115289184256198E-2</v>
      </c>
      <c r="K306" s="3">
        <v>3.8224648719039109E-3</v>
      </c>
      <c r="L306" s="3">
        <v>-4.4510640121298356E-3</v>
      </c>
      <c r="M306" s="3">
        <v>-3.0990276914221265E-2</v>
      </c>
      <c r="N306" s="3">
        <v>-1.4638604114630185E-2</v>
      </c>
      <c r="O306" s="3">
        <v>4.4224032861846074E-3</v>
      </c>
      <c r="P306" s="3">
        <v>1.049921314956531E-3</v>
      </c>
      <c r="Q306" s="3">
        <v>-4.3693299106230661E-2</v>
      </c>
      <c r="R306" s="3">
        <v>-8.903880812114514E-3</v>
      </c>
      <c r="S306" s="3">
        <v>0</v>
      </c>
      <c r="T306" s="3">
        <v>-5.0455926904140486E-3</v>
      </c>
      <c r="U306" s="3">
        <v>3.0171036953747909E-3</v>
      </c>
      <c r="V306" s="3">
        <v>8.6956887725488843E-3</v>
      </c>
      <c r="W306" s="3">
        <v>3.4772819259789881E-2</v>
      </c>
      <c r="X306" s="3">
        <v>1.0268025947860067E-2</v>
      </c>
      <c r="Y306" s="3">
        <v>2.3246689455705218E-2</v>
      </c>
      <c r="Z306" s="3">
        <v>-4.0595399188091156E-3</v>
      </c>
      <c r="AA306" s="3">
        <v>3.2697926463032365E-2</v>
      </c>
      <c r="AB306" s="3">
        <v>-2.3310935691076059E-3</v>
      </c>
      <c r="AC306" s="3">
        <v>-1.2208745850420769E-2</v>
      </c>
      <c r="AD306" s="3">
        <v>1.3395599431211502E-2</v>
      </c>
      <c r="AE306" s="3">
        <v>-1.6203224375817605E-2</v>
      </c>
      <c r="AF306" s="3">
        <v>-2.1988205050279194E-3</v>
      </c>
      <c r="AG306" s="3">
        <v>2.0363908145580652E-2</v>
      </c>
      <c r="AH306" s="3">
        <v>-1.223357386619869E-2</v>
      </c>
      <c r="AI306" s="3">
        <v>3.356220284808719E-2</v>
      </c>
      <c r="AJ306" s="3">
        <v>7.4025900041996091E-3</v>
      </c>
      <c r="AK306" s="3">
        <v>3.8167938931296893E-3</v>
      </c>
      <c r="AL306" s="3">
        <v>5.6833556901922369E-3</v>
      </c>
      <c r="AM306" s="3">
        <v>-4.6756631320794481E-3</v>
      </c>
      <c r="AN306" s="3">
        <v>1.169038245883397E-3</v>
      </c>
    </row>
    <row r="307" spans="1:40" x14ac:dyDescent="0.3">
      <c r="A307" s="101">
        <v>44754</v>
      </c>
      <c r="B307" s="3">
        <v>-1.935640645087797E-2</v>
      </c>
      <c r="C307" s="3">
        <v>-9.0187861761822415E-3</v>
      </c>
      <c r="D307" s="3">
        <v>-1.0933169633015696E-3</v>
      </c>
      <c r="E307" s="3">
        <v>-6.0439294675729248E-3</v>
      </c>
      <c r="F307" s="3">
        <v>-1.6803675354602102E-2</v>
      </c>
      <c r="G307" s="3">
        <v>-8.7643834128617662E-4</v>
      </c>
      <c r="H307" s="3">
        <v>1.3584526708211658E-3</v>
      </c>
      <c r="I307" s="3">
        <v>5.4690458701385442E-3</v>
      </c>
      <c r="J307" s="3">
        <v>-1.0799048211944598E-2</v>
      </c>
      <c r="K307" s="3">
        <v>-1.0933169633015696E-3</v>
      </c>
      <c r="L307" s="3">
        <v>-5.720794540930013E-3</v>
      </c>
      <c r="M307" s="3">
        <v>1.2282687727337743E-2</v>
      </c>
      <c r="N307" s="3">
        <v>-3.2901948325316621E-2</v>
      </c>
      <c r="O307" s="3">
        <v>-9.0187861761822415E-3</v>
      </c>
      <c r="P307" s="3">
        <v>8.390141583639231E-3</v>
      </c>
      <c r="Q307" s="3">
        <v>-1.6379356082466576E-2</v>
      </c>
      <c r="R307" s="3">
        <v>-3.7005390433309131E-2</v>
      </c>
      <c r="S307" s="3">
        <v>0</v>
      </c>
      <c r="T307" s="3">
        <v>-2.8977856664530841E-3</v>
      </c>
      <c r="U307" s="3">
        <v>1.8549467570498093E-2</v>
      </c>
      <c r="V307" s="3">
        <v>-9.8522433256870139E-3</v>
      </c>
      <c r="W307" s="3">
        <v>2.0054197339887864E-2</v>
      </c>
      <c r="X307" s="3">
        <v>3.500852823311839E-2</v>
      </c>
      <c r="Y307" s="3">
        <v>3.1910019755778166E-4</v>
      </c>
      <c r="Z307" s="3">
        <v>2.7173913043477679E-3</v>
      </c>
      <c r="AA307" s="3">
        <v>9.8627529299366465E-5</v>
      </c>
      <c r="AB307" s="3">
        <v>1.2644362400589587E-2</v>
      </c>
      <c r="AC307" s="3">
        <v>-2.017394447482041E-3</v>
      </c>
      <c r="AD307" s="3">
        <v>1.0144617235321578E-2</v>
      </c>
      <c r="AE307" s="3">
        <v>-8.4723806686805795E-3</v>
      </c>
      <c r="AF307" s="3">
        <v>-5.80312738885847E-2</v>
      </c>
      <c r="AG307" s="3">
        <v>3.7367347658910734E-2</v>
      </c>
      <c r="AH307" s="3">
        <v>6.7918874955526327E-3</v>
      </c>
      <c r="AI307" s="3">
        <v>2.5775869546937495E-2</v>
      </c>
      <c r="AJ307" s="3">
        <v>1.4696286202770305E-2</v>
      </c>
      <c r="AK307" s="3">
        <v>-7.6045627376425924E-3</v>
      </c>
      <c r="AL307" s="3">
        <v>2.1361722465901541E-3</v>
      </c>
      <c r="AM307" s="3">
        <v>-8.4053514476785784E-3</v>
      </c>
      <c r="AN307" s="3">
        <v>1.0433746850236288E-2</v>
      </c>
    </row>
    <row r="308" spans="1:40" x14ac:dyDescent="0.3">
      <c r="A308" s="101">
        <v>44755</v>
      </c>
      <c r="B308" s="3">
        <v>1.2560907309421662E-2</v>
      </c>
      <c r="C308" s="3">
        <v>-2.5868830127301047E-2</v>
      </c>
      <c r="D308" s="3">
        <v>1.3370866788207745E-3</v>
      </c>
      <c r="E308" s="3">
        <v>6.3725076872243464E-3</v>
      </c>
      <c r="F308" s="3">
        <v>5.4545146376367972E-3</v>
      </c>
      <c r="G308" s="3">
        <v>-1.0569663843025811E-2</v>
      </c>
      <c r="H308" s="3">
        <v>4.3342823877706178E-3</v>
      </c>
      <c r="I308" s="3">
        <v>-1.8410087001593193E-2</v>
      </c>
      <c r="J308" s="3">
        <v>-4.7306968097783368E-3</v>
      </c>
      <c r="K308" s="3">
        <v>1.3370866788207745E-3</v>
      </c>
      <c r="L308" s="3">
        <v>-6.0439294675729248E-3</v>
      </c>
      <c r="M308" s="3">
        <v>-5.6547641941391856E-2</v>
      </c>
      <c r="N308" s="3">
        <v>-4.7120532353287355E-4</v>
      </c>
      <c r="O308" s="3">
        <v>-2.5868830127301047E-2</v>
      </c>
      <c r="P308" s="3">
        <v>0</v>
      </c>
      <c r="Q308" s="3">
        <v>3.1551228319019117E-2</v>
      </c>
      <c r="R308" s="3">
        <v>-6.3675115407209829E-3</v>
      </c>
      <c r="S308" s="3">
        <v>0</v>
      </c>
      <c r="T308" s="3">
        <v>7.0234951911604324E-3</v>
      </c>
      <c r="U308" s="3">
        <v>-7.2190113595931808E-3</v>
      </c>
      <c r="V308" s="3">
        <v>9.9502758646633892E-3</v>
      </c>
      <c r="W308" s="3">
        <v>4.6758875648566636E-2</v>
      </c>
      <c r="X308" s="3">
        <v>-1.3638570649208862E-3</v>
      </c>
      <c r="Y308" s="3">
        <v>2.3413065390749555E-2</v>
      </c>
      <c r="Z308" s="3">
        <v>2.3035230352303513E-2</v>
      </c>
      <c r="AA308" s="3">
        <v>1.6625496520200462E-3</v>
      </c>
      <c r="AB308" s="3">
        <v>-2.7823496741080029E-3</v>
      </c>
      <c r="AC308" s="3">
        <v>2.186545729032735E-2</v>
      </c>
      <c r="AD308" s="3">
        <v>8.8253054005440913E-3</v>
      </c>
      <c r="AE308" s="3">
        <v>6.0316397136899649E-3</v>
      </c>
      <c r="AF308" s="3">
        <v>8.318044878034607E-3</v>
      </c>
      <c r="AG308" s="3">
        <v>-1.0233319688907082E-2</v>
      </c>
      <c r="AH308" s="3">
        <v>2.5396701029868605E-2</v>
      </c>
      <c r="AI308" s="3">
        <v>2.937676473311138E-2</v>
      </c>
      <c r="AJ308" s="3">
        <v>3.9712486041875421E-3</v>
      </c>
      <c r="AK308" s="3">
        <v>-1.5325670498084306E-2</v>
      </c>
      <c r="AL308" s="3">
        <v>-1.845435880873488E-3</v>
      </c>
      <c r="AM308" s="3">
        <v>1.278330705633461E-2</v>
      </c>
      <c r="AN308" s="3">
        <v>-3.4222397315042436E-3</v>
      </c>
    </row>
    <row r="309" spans="1:40" x14ac:dyDescent="0.3">
      <c r="A309" s="101">
        <v>44756</v>
      </c>
      <c r="B309" s="3">
        <v>1.0126576445283654E-2</v>
      </c>
      <c r="C309" s="3">
        <v>1.691932357151375E-2</v>
      </c>
      <c r="D309" s="3">
        <v>1.273082311843667E-3</v>
      </c>
      <c r="E309" s="3">
        <v>-8.2657372319194389E-3</v>
      </c>
      <c r="F309" s="3">
        <v>5.0633429289956219E-3</v>
      </c>
      <c r="G309" s="3">
        <v>-3.7810278249726659E-2</v>
      </c>
      <c r="H309" s="3">
        <v>4.1719528500935231E-4</v>
      </c>
      <c r="I309" s="3">
        <v>-1.1082628350808591E-2</v>
      </c>
      <c r="J309" s="3">
        <v>1.4746952954073017E-2</v>
      </c>
      <c r="K309" s="3">
        <v>1.273082311843667E-3</v>
      </c>
      <c r="L309" s="3">
        <v>6.3725076872243464E-3</v>
      </c>
      <c r="M309" s="3">
        <v>1.8684809965658904E-2</v>
      </c>
      <c r="N309" s="3">
        <v>7.9200844481505366E-3</v>
      </c>
      <c r="O309" s="3">
        <v>1.691932357151375E-2</v>
      </c>
      <c r="P309" s="3">
        <v>1.1960426417056651E-2</v>
      </c>
      <c r="Q309" s="3">
        <v>1.6992413325859712E-2</v>
      </c>
      <c r="R309" s="3">
        <v>-3.6512607832591026E-2</v>
      </c>
      <c r="S309" s="3">
        <v>0</v>
      </c>
      <c r="T309" s="3">
        <v>-2.3328554409454961E-2</v>
      </c>
      <c r="U309" s="3">
        <v>-6.6104737680006327E-4</v>
      </c>
      <c r="V309" s="3">
        <v>1.2315176871445057E-3</v>
      </c>
      <c r="W309" s="3">
        <v>-5.0762025789976217E-3</v>
      </c>
      <c r="X309" s="3">
        <v>-1.9393580459066261E-2</v>
      </c>
      <c r="Y309" s="3">
        <v>-1.5708789623597928E-2</v>
      </c>
      <c r="Z309" s="3">
        <v>6.6225165562913673E-3</v>
      </c>
      <c r="AA309" s="3">
        <v>5.2186421587495325E-3</v>
      </c>
      <c r="AB309" s="3">
        <v>7.4860982149592013E-4</v>
      </c>
      <c r="AC309" s="3">
        <v>1.1283817712332585E-2</v>
      </c>
      <c r="AD309" s="3">
        <v>0</v>
      </c>
      <c r="AE309" s="3">
        <v>-4.0064702416128355E-2</v>
      </c>
      <c r="AF309" s="3">
        <v>7.1152384853095704E-2</v>
      </c>
      <c r="AG309" s="3">
        <v>-4.1356492969387966E-4</v>
      </c>
      <c r="AH309" s="3">
        <v>-1.5479410786548111E-3</v>
      </c>
      <c r="AI309" s="3">
        <v>-5.1238134641621157E-2</v>
      </c>
      <c r="AJ309" s="3">
        <v>1.1284935435701924E-2</v>
      </c>
      <c r="AK309" s="3">
        <v>4.2801556420233589E-2</v>
      </c>
      <c r="AL309" s="3">
        <v>6.7007941710568704E-3</v>
      </c>
      <c r="AM309" s="3">
        <v>1.4574348796335847E-2</v>
      </c>
      <c r="AN309" s="3">
        <v>6.3403685000413303E-3</v>
      </c>
    </row>
    <row r="310" spans="1:40" x14ac:dyDescent="0.3">
      <c r="A310" s="101">
        <v>44757</v>
      </c>
      <c r="B310" s="3">
        <v>3.2580738077866603E-3</v>
      </c>
      <c r="C310" s="3">
        <v>9.2591368651812472E-3</v>
      </c>
      <c r="D310" s="3">
        <v>-1.7987731612633659E-4</v>
      </c>
      <c r="E310" s="3">
        <v>2.7538239299821667E-2</v>
      </c>
      <c r="F310" s="3">
        <v>-2.2670079858030583E-2</v>
      </c>
      <c r="G310" s="3">
        <v>3.0036342146522385E-2</v>
      </c>
      <c r="H310" s="3">
        <v>2.4918732118501719E-3</v>
      </c>
      <c r="I310" s="3">
        <v>-9.0517752625052638E-3</v>
      </c>
      <c r="J310" s="3">
        <v>3.6031663601893069E-3</v>
      </c>
      <c r="K310" s="3">
        <v>-1.7987731612633659E-4</v>
      </c>
      <c r="L310" s="3">
        <v>-8.2657372319194389E-3</v>
      </c>
      <c r="M310" s="3">
        <v>3.6922320152453544E-2</v>
      </c>
      <c r="N310" s="3">
        <v>-3.92893024745921E-3</v>
      </c>
      <c r="O310" s="3">
        <v>9.2591368651812472E-3</v>
      </c>
      <c r="P310" s="3">
        <v>0</v>
      </c>
      <c r="Q310" s="3">
        <v>-1.7543827153614407E-2</v>
      </c>
      <c r="R310" s="3">
        <v>-3.4803161543103191E-3</v>
      </c>
      <c r="S310" s="3">
        <v>-1.0604432206557898E-2</v>
      </c>
      <c r="T310" s="3">
        <v>-9.111023432997082E-3</v>
      </c>
      <c r="U310" s="3">
        <v>-3.8200751050557306E-2</v>
      </c>
      <c r="V310" s="3">
        <v>0</v>
      </c>
      <c r="W310" s="3">
        <v>-1.1224575780938155E-2</v>
      </c>
      <c r="X310" s="3">
        <v>-1.3927575825761792E-2</v>
      </c>
      <c r="Y310" s="3">
        <v>8.1063904283619152E-3</v>
      </c>
      <c r="Z310" s="3">
        <v>-2.631578947368365E-3</v>
      </c>
      <c r="AA310" s="3">
        <v>-2.1731526165481289E-2</v>
      </c>
      <c r="AB310" s="3">
        <v>-4.7670065653971881E-3</v>
      </c>
      <c r="AC310" s="3">
        <v>1.4877510497072668E-3</v>
      </c>
      <c r="AD310" s="3">
        <v>4.2231712236608012E-3</v>
      </c>
      <c r="AE310" s="3">
        <v>-2.9766059464095648E-2</v>
      </c>
      <c r="AF310" s="3">
        <v>-1.2033932188158908E-3</v>
      </c>
      <c r="AG310" s="3">
        <v>-9.5158874637982175E-3</v>
      </c>
      <c r="AH310" s="3">
        <v>-2.4030989881539823E-2</v>
      </c>
      <c r="AI310" s="3">
        <v>-2.3872739339837516E-2</v>
      </c>
      <c r="AJ310" s="3">
        <v>-6.0396603767984012E-3</v>
      </c>
      <c r="AK310" s="3">
        <v>1.865671641791038E-2</v>
      </c>
      <c r="AL310" s="3">
        <v>7.0098582297392783E-4</v>
      </c>
      <c r="AM310" s="3">
        <v>-8.2684502962015079E-3</v>
      </c>
      <c r="AN310" s="3">
        <v>-9.1973376698390331E-3</v>
      </c>
    </row>
    <row r="311" spans="1:40" x14ac:dyDescent="0.3">
      <c r="A311" s="101">
        <v>44760</v>
      </c>
      <c r="B311" s="3">
        <v>1.8985852256097328E-2</v>
      </c>
      <c r="C311" s="3">
        <v>-4.5155541255081288E-3</v>
      </c>
      <c r="D311" s="3">
        <v>-4.3421774311343931E-4</v>
      </c>
      <c r="E311" s="3">
        <v>-9.676648536801816E-3</v>
      </c>
      <c r="F311" s="3">
        <v>1.8041241601299478E-2</v>
      </c>
      <c r="G311" s="3">
        <v>-1.1628158891330989E-3</v>
      </c>
      <c r="H311" s="3">
        <v>-2.7550463720675271E-3</v>
      </c>
      <c r="I311" s="3">
        <v>-2.9578069884967383E-2</v>
      </c>
      <c r="J311" s="3">
        <v>-1.195322877092621E-4</v>
      </c>
      <c r="K311" s="3">
        <v>-4.3421774311343931E-4</v>
      </c>
      <c r="L311" s="3">
        <v>2.7538239299821667E-2</v>
      </c>
      <c r="M311" s="3">
        <v>-2.2513209798143963E-2</v>
      </c>
      <c r="N311" s="3">
        <v>1.8782936696474644E-4</v>
      </c>
      <c r="O311" s="3">
        <v>-4.5155541255081288E-3</v>
      </c>
      <c r="P311" s="3">
        <v>-1.0276465070733595E-3</v>
      </c>
      <c r="Q311" s="3">
        <v>2.551018584390918E-2</v>
      </c>
      <c r="R311" s="3">
        <v>5.0445741358415572E-3</v>
      </c>
      <c r="S311" s="3">
        <v>4.5318064398643325E-2</v>
      </c>
      <c r="T311" s="3">
        <v>-4.9705271236229588E-4</v>
      </c>
      <c r="U311" s="3">
        <v>-3.0261347503253436E-2</v>
      </c>
      <c r="V311" s="3">
        <v>-9.8401250246487985E-3</v>
      </c>
      <c r="W311" s="3">
        <v>-1.7543728799218651E-2</v>
      </c>
      <c r="X311" s="3">
        <v>0</v>
      </c>
      <c r="Y311" s="3">
        <v>7.0361229378870984E-3</v>
      </c>
      <c r="Z311" s="3">
        <v>-1.4511873350923524E-2</v>
      </c>
      <c r="AA311" s="3">
        <v>2.0969780547281273E-2</v>
      </c>
      <c r="AB311" s="3">
        <v>-3.4227657589771886E-4</v>
      </c>
      <c r="AC311" s="3">
        <v>-5.2268849487804416E-3</v>
      </c>
      <c r="AD311" s="3">
        <v>-9.011863211477501E-4</v>
      </c>
      <c r="AE311" s="3">
        <v>1.5991033754844387E-2</v>
      </c>
      <c r="AF311" s="3">
        <v>-2.9156632204480521E-2</v>
      </c>
      <c r="AG311" s="3">
        <v>4.1771092657849687E-3</v>
      </c>
      <c r="AH311" s="3">
        <v>2.1445508015723442E-2</v>
      </c>
      <c r="AI311" s="3">
        <v>1.088194728368133E-4</v>
      </c>
      <c r="AJ311" s="3">
        <v>-5.9606793817741808E-3</v>
      </c>
      <c r="AK311" s="3">
        <v>-1.831501831501825E-2</v>
      </c>
      <c r="AL311" s="3">
        <v>7.049271981423552E-3</v>
      </c>
      <c r="AM311" s="3">
        <v>-1.1142388115855609E-3</v>
      </c>
      <c r="AN311" s="3">
        <v>-9.1773248851342621E-4</v>
      </c>
    </row>
    <row r="312" spans="1:40" x14ac:dyDescent="0.3">
      <c r="A312" s="101">
        <v>44761</v>
      </c>
      <c r="B312" s="3">
        <v>-1.8877146069780776E-2</v>
      </c>
      <c r="C312" s="3">
        <v>2.1743973381292837E-2</v>
      </c>
      <c r="D312" s="3">
        <v>4.6545735088476846E-4</v>
      </c>
      <c r="E312" s="3">
        <v>5.4125054654071813E-3</v>
      </c>
      <c r="F312" s="3">
        <v>-1.0488196449517057E-2</v>
      </c>
      <c r="G312" s="3">
        <v>-1.0477754798032066E-2</v>
      </c>
      <c r="H312" s="3">
        <v>4.0995377335266096E-3</v>
      </c>
      <c r="I312" s="3">
        <v>4.9305021992836129E-3</v>
      </c>
      <c r="J312" s="3">
        <v>-5.2664917398242243E-3</v>
      </c>
      <c r="K312" s="3">
        <v>4.6545735088476846E-4</v>
      </c>
      <c r="L312" s="3">
        <v>-9.676648536801816E-3</v>
      </c>
      <c r="M312" s="3">
        <v>7.2855935907306891E-3</v>
      </c>
      <c r="N312" s="3">
        <v>6.4789344538879528E-3</v>
      </c>
      <c r="O312" s="3">
        <v>2.1743973381292837E-2</v>
      </c>
      <c r="P312" s="3">
        <v>-2.572119209253087E-3</v>
      </c>
      <c r="Q312" s="3">
        <v>-6.6335013397421433E-3</v>
      </c>
      <c r="R312" s="3">
        <v>-1.5444008871520479E-2</v>
      </c>
      <c r="S312" s="3">
        <v>9.693906305480211E-3</v>
      </c>
      <c r="T312" s="3">
        <v>-2.487001755517689E-4</v>
      </c>
      <c r="U312" s="3">
        <v>-1.329787791969392E-2</v>
      </c>
      <c r="V312" s="3">
        <v>1.1180141949028414E-2</v>
      </c>
      <c r="W312" s="3">
        <v>-1.7332064742914332E-2</v>
      </c>
      <c r="X312" s="3">
        <v>2.5988642599511707E-2</v>
      </c>
      <c r="Y312" s="3">
        <v>-5.4897378885264978E-3</v>
      </c>
      <c r="Z312" s="3">
        <v>5.3547523427041549E-3</v>
      </c>
      <c r="AA312" s="3">
        <v>-5.281893117702492E-3</v>
      </c>
      <c r="AB312" s="3">
        <v>-3.3539653095054855E-3</v>
      </c>
      <c r="AC312" s="3">
        <v>-1.3273416661877073E-3</v>
      </c>
      <c r="AD312" s="3">
        <v>-1.3830403803047897E-2</v>
      </c>
      <c r="AE312" s="3">
        <v>-4.6438539937083016E-2</v>
      </c>
      <c r="AF312" s="3">
        <v>1.1417233768951514E-2</v>
      </c>
      <c r="AG312" s="3">
        <v>-1.1231322328148014E-2</v>
      </c>
      <c r="AH312" s="3">
        <v>-1.3996783646843562E-2</v>
      </c>
      <c r="AI312" s="3">
        <v>-1.3694214560078808E-2</v>
      </c>
      <c r="AJ312" s="3">
        <v>2.9110210101475566E-3</v>
      </c>
      <c r="AK312" s="3">
        <v>0</v>
      </c>
      <c r="AL312" s="3">
        <v>6.8475819687211414E-4</v>
      </c>
      <c r="AM312" s="3">
        <v>-7.9426586732640816E-3</v>
      </c>
      <c r="AN312" s="3">
        <v>-6.340814944657343E-3</v>
      </c>
    </row>
    <row r="313" spans="1:40" x14ac:dyDescent="0.3">
      <c r="A313" s="101">
        <v>44762</v>
      </c>
      <c r="B313" s="3">
        <v>1.1993970304639872E-2</v>
      </c>
      <c r="C313" s="3">
        <v>7.0390763949929028E-5</v>
      </c>
      <c r="D313" s="3">
        <v>2.5806562294340188E-3</v>
      </c>
      <c r="E313" s="3">
        <v>-5.5738225304672864E-3</v>
      </c>
      <c r="F313" s="3">
        <v>2.2295257227771502E-2</v>
      </c>
      <c r="G313" s="3">
        <v>-3.0770939165325108E-3</v>
      </c>
      <c r="H313" s="3">
        <v>-1.1203012895383735E-3</v>
      </c>
      <c r="I313" s="3">
        <v>-6.6903626243713836E-3</v>
      </c>
      <c r="J313" s="3">
        <v>1.2032562416192769E-3</v>
      </c>
      <c r="K313" s="3">
        <v>2.5806562294340188E-3</v>
      </c>
      <c r="L313" s="3">
        <v>5.4125054654071813E-3</v>
      </c>
      <c r="M313" s="3">
        <v>-2.6831590601222654E-2</v>
      </c>
      <c r="N313" s="3">
        <v>-1.1008473748738689E-2</v>
      </c>
      <c r="O313" s="3">
        <v>7.0390763949929028E-5</v>
      </c>
      <c r="P313" s="3">
        <v>7.220320124823063E-3</v>
      </c>
      <c r="Q313" s="3">
        <v>1.502496889814527E-2</v>
      </c>
      <c r="R313" s="3">
        <v>-1.5686267729495971E-2</v>
      </c>
      <c r="S313" s="3">
        <v>2.2538488512634457E-3</v>
      </c>
      <c r="T313" s="3">
        <v>-3.4816889232038282E-3</v>
      </c>
      <c r="U313" s="3">
        <v>1.3836438078472443E-2</v>
      </c>
      <c r="V313" s="3">
        <v>1.2284918682000994E-3</v>
      </c>
      <c r="W313" s="3">
        <v>-1.2827418385164211E-2</v>
      </c>
      <c r="X313" s="3">
        <v>1.8447191629955857E-2</v>
      </c>
      <c r="Y313" s="3">
        <v>-8.5309247087055236E-3</v>
      </c>
      <c r="Z313" s="3">
        <v>-7.9893475366177909E-3</v>
      </c>
      <c r="AA313" s="3">
        <v>-3.0563585833090802E-3</v>
      </c>
      <c r="AB313" s="3">
        <v>1.7855789160674967E-3</v>
      </c>
      <c r="AC313" s="3">
        <v>-3.2398692542869169E-3</v>
      </c>
      <c r="AD313" s="3">
        <v>9.7559719729809515E-3</v>
      </c>
      <c r="AE313" s="3">
        <v>-2.6499021080551098E-2</v>
      </c>
      <c r="AF313" s="3">
        <v>1.7177625034198308E-3</v>
      </c>
      <c r="AG313" s="3">
        <v>3.3655868742112683E-3</v>
      </c>
      <c r="AH313" s="3">
        <v>-1.529974969339881E-2</v>
      </c>
      <c r="AI313" s="3">
        <v>-4.1322286297269094E-3</v>
      </c>
      <c r="AJ313" s="3">
        <v>-5.8049600952499837E-3</v>
      </c>
      <c r="AK313" s="3">
        <v>-2.611940298507473E-2</v>
      </c>
      <c r="AL313" s="3">
        <v>-2.9472000292664001E-3</v>
      </c>
      <c r="AM313" s="3">
        <v>-6.6687399580179019E-3</v>
      </c>
      <c r="AN313" s="3">
        <v>-8.603647601159602E-3</v>
      </c>
    </row>
    <row r="314" spans="1:40" x14ac:dyDescent="0.3">
      <c r="A314" s="101">
        <v>44763</v>
      </c>
      <c r="B314" s="3">
        <v>1.8518551348294075E-2</v>
      </c>
      <c r="C314" s="3">
        <v>3.5231776425238871E-3</v>
      </c>
      <c r="D314" s="3">
        <v>1.3984274104547191E-3</v>
      </c>
      <c r="E314" s="3">
        <v>1.6048575983704676E-2</v>
      </c>
      <c r="F314" s="3">
        <v>2.0379031291287202E-2</v>
      </c>
      <c r="G314" s="3">
        <v>3.7991898125295194E-2</v>
      </c>
      <c r="H314" s="3">
        <v>1.731767015974519E-3</v>
      </c>
      <c r="I314" s="3">
        <v>6.8702209660121819E-2</v>
      </c>
      <c r="J314" s="3">
        <v>1.0575664690019141E-2</v>
      </c>
      <c r="K314" s="3">
        <v>1.3984274104547191E-3</v>
      </c>
      <c r="L314" s="3">
        <v>-5.5738225304672864E-3</v>
      </c>
      <c r="M314" s="3">
        <v>-4.5552386611181703E-3</v>
      </c>
      <c r="N314" s="3">
        <v>-2.2073444005007017E-2</v>
      </c>
      <c r="O314" s="3">
        <v>3.5231776425238871E-3</v>
      </c>
      <c r="P314" s="3">
        <v>-1.4849000775780821E-2</v>
      </c>
      <c r="Q314" s="3">
        <v>1.5625044997909836E-2</v>
      </c>
      <c r="R314" s="3">
        <v>-6.3747738505022761E-4</v>
      </c>
      <c r="S314" s="3">
        <v>0</v>
      </c>
      <c r="T314" s="3">
        <v>3.2443230837000277E-3</v>
      </c>
      <c r="U314" s="3">
        <v>-2.4282160650030266E-2</v>
      </c>
      <c r="V314" s="3">
        <v>-9.815977662209617E-3</v>
      </c>
      <c r="W314" s="3">
        <v>0</v>
      </c>
      <c r="X314" s="3">
        <v>-1.6761367031015488E-2</v>
      </c>
      <c r="Y314" s="3">
        <v>1.2590187429965654E-2</v>
      </c>
      <c r="Z314" s="3">
        <v>1.6107382550335586E-2</v>
      </c>
      <c r="AA314" s="3">
        <v>2.0386530301038173E-2</v>
      </c>
      <c r="AB314" s="3">
        <v>2.0773442008298254E-2</v>
      </c>
      <c r="AC314" s="3">
        <v>7.4730610825023336E-3</v>
      </c>
      <c r="AD314" s="3">
        <v>-1.1171462253963109E-2</v>
      </c>
      <c r="AE314" s="3">
        <v>8.3962516604814018E-4</v>
      </c>
      <c r="AF314" s="3">
        <v>-2.1068097512899377E-2</v>
      </c>
      <c r="AG314" s="3">
        <v>5.8700209643604614E-3</v>
      </c>
      <c r="AH314" s="3">
        <v>1.1132506067102437E-2</v>
      </c>
      <c r="AI314" s="3">
        <v>2.0912808616827226E-2</v>
      </c>
      <c r="AJ314" s="3">
        <v>-3.6784393810561514E-3</v>
      </c>
      <c r="AK314" s="3">
        <v>-1.9157088122605297E-2</v>
      </c>
      <c r="AL314" s="3">
        <v>5.0838807976198398E-3</v>
      </c>
      <c r="AM314" s="3">
        <v>-3.2787332578267121E-3</v>
      </c>
      <c r="AN314" s="3">
        <v>3.4598115096992894E-3</v>
      </c>
    </row>
    <row r="315" spans="1:40" x14ac:dyDescent="0.3">
      <c r="A315" s="101">
        <v>44764</v>
      </c>
      <c r="B315" s="3">
        <v>3.1515119749472867E-2</v>
      </c>
      <c r="C315" s="3">
        <v>-4.7044909000910498E-3</v>
      </c>
      <c r="D315" s="3">
        <v>-1.2365304332859621E-4</v>
      </c>
      <c r="E315" s="3">
        <v>-7.0721797619199551E-4</v>
      </c>
      <c r="F315" s="3">
        <v>-1.4015452018634989E-2</v>
      </c>
      <c r="G315" s="3">
        <v>2.0115708154669781E-3</v>
      </c>
      <c r="H315" s="3">
        <v>7.622936872554092E-4</v>
      </c>
      <c r="I315" s="3">
        <v>-4.4958007663818196E-2</v>
      </c>
      <c r="J315" s="3">
        <v>1.6650709334023754E-3</v>
      </c>
      <c r="K315" s="3">
        <v>-1.2365304332859621E-4</v>
      </c>
      <c r="L315" s="3">
        <v>1.6048575983704676E-2</v>
      </c>
      <c r="M315" s="3">
        <v>5.1782225433525925E-2</v>
      </c>
      <c r="N315" s="3">
        <v>-2.411500921552515E-2</v>
      </c>
      <c r="O315" s="3">
        <v>-4.7044909000910498E-3</v>
      </c>
      <c r="P315" s="3">
        <v>7.2764553014554624E-3</v>
      </c>
      <c r="Q315" s="3">
        <v>-1.7004017331287653E-2</v>
      </c>
      <c r="R315" s="3">
        <v>-2.7268331543803495E-2</v>
      </c>
      <c r="S315" s="3">
        <v>0</v>
      </c>
      <c r="T315" s="3">
        <v>-1.1194061070881558E-2</v>
      </c>
      <c r="U315" s="3">
        <v>-1.1262473203493009E-2</v>
      </c>
      <c r="V315" s="3">
        <v>1.2391479765433522E-3</v>
      </c>
      <c r="W315" s="3">
        <v>3.4650973781257824E-2</v>
      </c>
      <c r="X315" s="3">
        <v>0</v>
      </c>
      <c r="Y315" s="3">
        <v>-3.3739955631241084E-3</v>
      </c>
      <c r="Z315" s="3">
        <v>1.4531043593130703E-2</v>
      </c>
      <c r="AA315" s="3">
        <v>-7.0335576323987776E-3</v>
      </c>
      <c r="AB315" s="3">
        <v>1.4103856932065357E-3</v>
      </c>
      <c r="AC315" s="3">
        <v>1.4614614884014918E-3</v>
      </c>
      <c r="AD315" s="3">
        <v>-6.4120334035543238E-3</v>
      </c>
      <c r="AE315" s="3">
        <v>-3.2285108668370373E-2</v>
      </c>
      <c r="AF315" s="3">
        <v>-2.0019855364986735E-2</v>
      </c>
      <c r="AG315" s="3">
        <v>4.1684035014595929E-4</v>
      </c>
      <c r="AH315" s="3">
        <v>3.7623750636043882E-2</v>
      </c>
      <c r="AI315" s="3">
        <v>2.0918016532964628E-2</v>
      </c>
      <c r="AJ315" s="3">
        <v>6.1533710633485056E-3</v>
      </c>
      <c r="AK315" s="3">
        <v>1.5625000000000014E-2</v>
      </c>
      <c r="AL315" s="3">
        <v>1.1930096197461752E-4</v>
      </c>
      <c r="AM315" s="3">
        <v>1.0181668996354769E-2</v>
      </c>
      <c r="AN315" s="3">
        <v>-2.8848251330136992E-3</v>
      </c>
    </row>
    <row r="316" spans="1:40" x14ac:dyDescent="0.3">
      <c r="A316" s="101">
        <v>44767</v>
      </c>
      <c r="B316" s="3">
        <v>1.6216212619177751E-2</v>
      </c>
      <c r="C316" s="3">
        <v>7.0686038142116317E-5</v>
      </c>
      <c r="D316" s="3">
        <v>1.7674244267060913E-3</v>
      </c>
      <c r="E316" s="3">
        <v>1.2833868764304602E-2</v>
      </c>
      <c r="F316" s="3">
        <v>-1.4214607517405126E-2</v>
      </c>
      <c r="G316" s="3">
        <v>2.1471585150875463E-2</v>
      </c>
      <c r="H316" s="3">
        <v>1.169773594401371E-3</v>
      </c>
      <c r="I316" s="3">
        <v>5.2353761713077887E-2</v>
      </c>
      <c r="J316" s="3">
        <v>2.0182185103978065E-3</v>
      </c>
      <c r="K316" s="3">
        <v>1.7674244267060913E-3</v>
      </c>
      <c r="L316" s="3">
        <v>-7.0721797619199551E-4</v>
      </c>
      <c r="M316" s="3">
        <v>5.2668653660117182E-3</v>
      </c>
      <c r="N316" s="3">
        <v>3.2222990695041559E-2</v>
      </c>
      <c r="O316" s="3">
        <v>7.0686038142116317E-5</v>
      </c>
      <c r="P316" s="3">
        <v>2.5800310928807677E-3</v>
      </c>
      <c r="Q316" s="3">
        <v>-2.5535415739409775E-2</v>
      </c>
      <c r="R316" s="3">
        <v>-1.6557355963909507E-2</v>
      </c>
      <c r="S316" s="3">
        <v>0</v>
      </c>
      <c r="T316" s="3">
        <v>-1.7106847907671398E-2</v>
      </c>
      <c r="U316" s="3">
        <v>-2.9762990632313805E-2</v>
      </c>
      <c r="V316" s="3">
        <v>1.9802034879023475E-2</v>
      </c>
      <c r="W316" s="3">
        <v>3.4013515185798537E-2</v>
      </c>
      <c r="X316" s="3">
        <v>3.2169426235067994E-2</v>
      </c>
      <c r="Y316" s="3">
        <v>1.9309141098023418E-2</v>
      </c>
      <c r="Z316" s="3">
        <v>-1.1718749999999983E-2</v>
      </c>
      <c r="AA316" s="3">
        <v>-4.3225495263422224E-2</v>
      </c>
      <c r="AB316" s="3">
        <v>1.3548015256684689E-2</v>
      </c>
      <c r="AC316" s="3">
        <v>9.3066938299103466E-3</v>
      </c>
      <c r="AD316" s="3">
        <v>-3.9951161735918821E-3</v>
      </c>
      <c r="AE316" s="3">
        <v>-2.8244889714419421E-3</v>
      </c>
      <c r="AF316" s="3">
        <v>-1.6343288358519975E-2</v>
      </c>
      <c r="AG316" s="3">
        <v>-5.0000416666666032E-3</v>
      </c>
      <c r="AH316" s="3">
        <v>0</v>
      </c>
      <c r="AI316" s="3">
        <v>-1.6242823588334534E-2</v>
      </c>
      <c r="AJ316" s="3">
        <v>3.9022968786038199E-3</v>
      </c>
      <c r="AK316" s="3">
        <v>-3.0769230769230795E-2</v>
      </c>
      <c r="AL316" s="3">
        <v>3.6847678416499214E-3</v>
      </c>
      <c r="AM316" s="3">
        <v>3.8765701385906582E-3</v>
      </c>
      <c r="AN316" s="3">
        <v>1.5239422153335621E-3</v>
      </c>
    </row>
    <row r="317" spans="1:40" x14ac:dyDescent="0.3">
      <c r="A317" s="101">
        <v>44768</v>
      </c>
      <c r="B317" s="3">
        <v>1.1563886697015715E-3</v>
      </c>
      <c r="C317" s="3">
        <v>4.0913288834344428E-3</v>
      </c>
      <c r="D317" s="3">
        <v>-4.6271047533012104E-4</v>
      </c>
      <c r="E317" s="3">
        <v>1.1087360456370196E-2</v>
      </c>
      <c r="F317" s="3">
        <v>0</v>
      </c>
      <c r="G317" s="3">
        <v>1.1535490998337939E-2</v>
      </c>
      <c r="H317" s="3">
        <v>2.9278101203051689E-3</v>
      </c>
      <c r="I317" s="3">
        <v>2.0066869005404307E-2</v>
      </c>
      <c r="J317" s="3">
        <v>2.2511192004376485E-3</v>
      </c>
      <c r="K317" s="3">
        <v>-4.6271047533012104E-4</v>
      </c>
      <c r="L317" s="3">
        <v>1.2833868764304602E-2</v>
      </c>
      <c r="M317" s="3">
        <v>-1.3667493682574342E-2</v>
      </c>
      <c r="N317" s="3">
        <v>8.4267272926677999E-3</v>
      </c>
      <c r="O317" s="3">
        <v>4.0913288834344428E-3</v>
      </c>
      <c r="P317" s="3">
        <v>1.4410653628409681E-2</v>
      </c>
      <c r="Q317" s="3">
        <v>-5.9171486735858239E-3</v>
      </c>
      <c r="R317" s="3">
        <v>-4.1506944941710922E-2</v>
      </c>
      <c r="S317" s="3">
        <v>-2.4347843610622778E-4</v>
      </c>
      <c r="T317" s="3">
        <v>-1.4077301387241753E-2</v>
      </c>
      <c r="U317" s="3">
        <v>6.4571109639502522E-2</v>
      </c>
      <c r="V317" s="3">
        <v>-4.854432214054287E-3</v>
      </c>
      <c r="W317" s="3">
        <v>1.4170018881126867E-2</v>
      </c>
      <c r="X317" s="3">
        <v>1.065556711093421E-3</v>
      </c>
      <c r="Y317" s="3">
        <v>2.5708888017931843E-2</v>
      </c>
      <c r="Z317" s="3">
        <v>3.0303030303030359E-2</v>
      </c>
      <c r="AA317" s="3">
        <v>-2.981764938292614E-2</v>
      </c>
      <c r="AB317" s="3">
        <v>-6.1541752921865462E-3</v>
      </c>
      <c r="AC317" s="3">
        <v>-2.2124579998497249E-2</v>
      </c>
      <c r="AD317" s="3">
        <v>-1.9438505779161525E-2</v>
      </c>
      <c r="AE317" s="3">
        <v>1.2900948364215987E-3</v>
      </c>
      <c r="AF317" s="3">
        <v>1.3239881456672393E-2</v>
      </c>
      <c r="AG317" s="3">
        <v>-7.1189282713119747E-3</v>
      </c>
      <c r="AH317" s="3">
        <v>-9.9236741422510325E-3</v>
      </c>
      <c r="AI317" s="3">
        <v>-1.9964444838564754E-2</v>
      </c>
      <c r="AJ317" s="3">
        <v>-9.8630242689782335E-3</v>
      </c>
      <c r="AK317" s="3">
        <v>-3.5714285714285657E-2</v>
      </c>
      <c r="AL317" s="3">
        <v>-1.1629279564628888E-2</v>
      </c>
      <c r="AM317" s="3">
        <v>1.9114728770757517E-3</v>
      </c>
      <c r="AN317" s="3">
        <v>-1.7287024944053597E-2</v>
      </c>
    </row>
    <row r="318" spans="1:40" x14ac:dyDescent="0.3">
      <c r="A318" s="101">
        <v>44769</v>
      </c>
      <c r="B318" s="3">
        <v>1.293586454218151E-2</v>
      </c>
      <c r="C318" s="3">
        <v>-1.1942531138603358E-3</v>
      </c>
      <c r="D318" s="3">
        <v>3.2648413937734441E-3</v>
      </c>
      <c r="E318" s="3">
        <v>-2.2116115168382116E-3</v>
      </c>
      <c r="F318" s="3">
        <v>-8.6517739174369734E-3</v>
      </c>
      <c r="G318" s="3">
        <v>6.8846259267744342E-3</v>
      </c>
      <c r="H318" s="3">
        <v>2.2385532376050618E-3</v>
      </c>
      <c r="I318" s="3">
        <v>-4.9180278310994863E-2</v>
      </c>
      <c r="J318" s="3">
        <v>-1.8914676163975454E-3</v>
      </c>
      <c r="K318" s="3">
        <v>3.2648413937734441E-3</v>
      </c>
      <c r="L318" s="3">
        <v>1.1087360456370196E-2</v>
      </c>
      <c r="M318" s="3">
        <v>6.6974828336601976E-3</v>
      </c>
      <c r="N318" s="3">
        <v>1.0160387436471373E-2</v>
      </c>
      <c r="O318" s="3">
        <v>-1.1942531138603358E-3</v>
      </c>
      <c r="P318" s="3">
        <v>2.6382599004698103E-2</v>
      </c>
      <c r="Q318" s="3">
        <v>8.5024809775334736E-4</v>
      </c>
      <c r="R318" s="3">
        <v>8.6086640436006095E-3</v>
      </c>
      <c r="S318" s="3">
        <v>0</v>
      </c>
      <c r="T318" s="3">
        <v>-2.9854720656312547E-2</v>
      </c>
      <c r="U318" s="3">
        <v>-1.4230342757302629E-3</v>
      </c>
      <c r="V318" s="3">
        <v>-4.0243900595282364E-2</v>
      </c>
      <c r="W318" s="3">
        <v>-1.7465043603783269E-2</v>
      </c>
      <c r="X318" s="3">
        <v>0</v>
      </c>
      <c r="Y318" s="3">
        <v>-1.8648437521174455E-2</v>
      </c>
      <c r="Z318" s="3">
        <v>-1.4066496163682905E-2</v>
      </c>
      <c r="AA318" s="3">
        <v>3.4970154752427908E-2</v>
      </c>
      <c r="AB318" s="3">
        <v>-2.5501111417339257E-2</v>
      </c>
      <c r="AC318" s="3">
        <v>-8.36936783252221E-3</v>
      </c>
      <c r="AD318" s="3">
        <v>-6.9225754022369272E-3</v>
      </c>
      <c r="AE318" s="3">
        <v>-3.4505959246712806E-2</v>
      </c>
      <c r="AF318" s="3">
        <v>3.6894745263675782E-2</v>
      </c>
      <c r="AG318" s="3">
        <v>0</v>
      </c>
      <c r="AH318" s="3">
        <v>0</v>
      </c>
      <c r="AI318" s="3">
        <v>-1.4755273102869046E-2</v>
      </c>
      <c r="AJ318" s="3">
        <v>-1.0840316159135702E-2</v>
      </c>
      <c r="AK318" s="3">
        <v>-8.2304526748971252E-3</v>
      </c>
      <c r="AL318" s="3">
        <v>-5.3204464860425191E-3</v>
      </c>
      <c r="AM318" s="3">
        <v>5.7043074020856803E-3</v>
      </c>
      <c r="AN318" s="3">
        <v>-1.2566483929688297E-2</v>
      </c>
    </row>
    <row r="319" spans="1:40" x14ac:dyDescent="0.3">
      <c r="A319" s="101">
        <v>44770</v>
      </c>
      <c r="B319" s="3">
        <v>-6.6133652382408979E-3</v>
      </c>
      <c r="C319" s="3">
        <v>-3.3763431508172601E-3</v>
      </c>
      <c r="D319" s="3">
        <v>3.315694499601608E-3</v>
      </c>
      <c r="E319" s="3">
        <v>6.2337937658076175E-3</v>
      </c>
      <c r="F319" s="3">
        <v>1.8181810357696847E-2</v>
      </c>
      <c r="G319" s="3">
        <v>7.8442720241800688E-3</v>
      </c>
      <c r="H319" s="3">
        <v>3.0715581822052512E-3</v>
      </c>
      <c r="I319" s="3">
        <v>1.9827532074994398E-2</v>
      </c>
      <c r="J319" s="3">
        <v>-8.7646644712372421E-3</v>
      </c>
      <c r="K319" s="3">
        <v>3.315694499601608E-3</v>
      </c>
      <c r="L319" s="3">
        <v>-2.2116115168382116E-3</v>
      </c>
      <c r="M319" s="3">
        <v>2.982333103922917E-2</v>
      </c>
      <c r="N319" s="3">
        <v>1.673261651798778E-2</v>
      </c>
      <c r="O319" s="3">
        <v>-3.3763431508172601E-3</v>
      </c>
      <c r="P319" s="3">
        <v>1.5323826000988618E-2</v>
      </c>
      <c r="Q319" s="3">
        <v>2.0390832308762027E-2</v>
      </c>
      <c r="R319" s="3">
        <v>8.621463801511884E-3</v>
      </c>
      <c r="S319" s="3">
        <v>-1.7175784083672548E-2</v>
      </c>
      <c r="T319" s="3">
        <v>3.9604037468538432E-2</v>
      </c>
      <c r="U319" s="3">
        <v>3.0282368850254151E-3</v>
      </c>
      <c r="V319" s="3">
        <v>-2.5412978488228356E-2</v>
      </c>
      <c r="W319" s="3">
        <v>2.1330592044695035E-2</v>
      </c>
      <c r="X319" s="3">
        <v>-3.6721685113268489E-2</v>
      </c>
      <c r="Y319" s="3">
        <v>-3.2384149275712791E-3</v>
      </c>
      <c r="Z319" s="3">
        <v>0</v>
      </c>
      <c r="AA319" s="3">
        <v>-2.2525690104728539E-2</v>
      </c>
      <c r="AB319" s="3">
        <v>2.3231337808081389E-3</v>
      </c>
      <c r="AC319" s="3">
        <v>-9.2844841428785208E-4</v>
      </c>
      <c r="AD319" s="3">
        <v>-2.5982220163183856E-2</v>
      </c>
      <c r="AE319" s="3">
        <v>-3.9742254468142016E-3</v>
      </c>
      <c r="AF319" s="3">
        <v>-2.0509037166075789E-2</v>
      </c>
      <c r="AG319" s="3">
        <v>-1.8135724088389933E-2</v>
      </c>
      <c r="AH319" s="3">
        <v>-5.2428663053026729E-2</v>
      </c>
      <c r="AI319" s="3">
        <v>-9.1086558945704787E-3</v>
      </c>
      <c r="AJ319" s="3">
        <v>-1.9074679278749992E-2</v>
      </c>
      <c r="AK319" s="3">
        <v>-2.4896265560165994E-2</v>
      </c>
      <c r="AL319" s="3">
        <v>2.5151276443882748E-3</v>
      </c>
      <c r="AM319" s="3">
        <v>4.1849554887707162E-2</v>
      </c>
      <c r="AN319" s="3">
        <v>-4.2078206368877805E-3</v>
      </c>
    </row>
    <row r="320" spans="1:40" x14ac:dyDescent="0.3">
      <c r="A320" s="101">
        <v>44771</v>
      </c>
      <c r="B320" s="3">
        <v>2.9843469895360071E-3</v>
      </c>
      <c r="C320" s="3">
        <v>2.3996722394680281E-3</v>
      </c>
      <c r="D320" s="3">
        <v>-6.8669747146039208E-3</v>
      </c>
      <c r="E320" s="3">
        <v>1.496034678042242E-2</v>
      </c>
      <c r="F320" s="3">
        <v>2.8571221053425239E-3</v>
      </c>
      <c r="G320" s="3">
        <v>5.4524765972795448E-3</v>
      </c>
      <c r="H320" s="3">
        <v>2.4254674077811415E-4</v>
      </c>
      <c r="I320" s="3">
        <v>1.1834372562361934E-2</v>
      </c>
      <c r="J320" s="3">
        <v>1.0754844586739153E-3</v>
      </c>
      <c r="K320" s="3">
        <v>-6.8669747146039208E-3</v>
      </c>
      <c r="L320" s="3">
        <v>6.2337937658076175E-3</v>
      </c>
      <c r="M320" s="3">
        <v>1.202942775739417E-2</v>
      </c>
      <c r="N320" s="3">
        <v>-7.2115850129136896E-3</v>
      </c>
      <c r="O320" s="3">
        <v>2.3996722394680281E-3</v>
      </c>
      <c r="P320" s="3">
        <v>2.4342257821701021E-3</v>
      </c>
      <c r="Q320" s="3">
        <v>2.081600765167755E-2</v>
      </c>
      <c r="R320" s="3">
        <v>-4.1029355345159162E-3</v>
      </c>
      <c r="S320" s="3">
        <v>2.0705745032982878E-2</v>
      </c>
      <c r="T320" s="3">
        <v>-3.4491635114009767E-2</v>
      </c>
      <c r="U320" s="3">
        <v>9.2345704890486515E-3</v>
      </c>
      <c r="V320" s="3">
        <v>6.5189634000901771E-3</v>
      </c>
      <c r="W320" s="3">
        <v>-7.956195090682891E-3</v>
      </c>
      <c r="X320" s="3">
        <v>1.4640855949147531E-2</v>
      </c>
      <c r="Y320" s="3">
        <v>-3.9661624481652065E-2</v>
      </c>
      <c r="Z320" s="3">
        <v>-7.782101167315124E-3</v>
      </c>
      <c r="AA320" s="3">
        <v>1.0082056882666071E-2</v>
      </c>
      <c r="AB320" s="3">
        <v>1.0156865297851887E-2</v>
      </c>
      <c r="AC320" s="3">
        <v>1.1967785705786575E-2</v>
      </c>
      <c r="AD320" s="3">
        <v>-3.0579110041648982E-2</v>
      </c>
      <c r="AE320" s="3">
        <v>2.2862984892448226E-2</v>
      </c>
      <c r="AF320" s="3">
        <v>1.7658631473437979E-3</v>
      </c>
      <c r="AG320" s="3">
        <v>3.0068297677479832E-3</v>
      </c>
      <c r="AH320" s="3">
        <v>5.6955982834935139E-3</v>
      </c>
      <c r="AI320" s="3">
        <v>-9.0236345918844074E-4</v>
      </c>
      <c r="AJ320" s="3">
        <v>1.3285836363707271E-2</v>
      </c>
      <c r="AK320" s="3">
        <v>2.9787234042553123E-2</v>
      </c>
      <c r="AL320" s="3">
        <v>1.1127449245362129E-2</v>
      </c>
      <c r="AM320" s="3">
        <v>5.8302824515528281E-3</v>
      </c>
      <c r="AN320" s="3">
        <v>3.8271571577537925E-3</v>
      </c>
    </row>
    <row r="321" spans="1:40" x14ac:dyDescent="0.3">
      <c r="A321" s="101">
        <v>44774</v>
      </c>
      <c r="B321" s="3">
        <v>1.1673232266699994E-2</v>
      </c>
      <c r="C321" s="3">
        <v>-2.6051440448567665E-3</v>
      </c>
      <c r="D321" s="3">
        <v>6.4329114868258638E-3</v>
      </c>
      <c r="E321" s="3">
        <v>-5.8778223990368318E-3</v>
      </c>
      <c r="F321" s="3">
        <v>-1.353275254551699E-2</v>
      </c>
      <c r="G321" s="3">
        <v>6.6228834443009287E-4</v>
      </c>
      <c r="H321" s="3">
        <v>3.1994934696654554E-4</v>
      </c>
      <c r="I321" s="3">
        <v>-8.7719365813942029E-3</v>
      </c>
      <c r="J321" s="3">
        <v>-1.5516853536728483E-2</v>
      </c>
      <c r="K321" s="3">
        <v>6.4329114868258638E-3</v>
      </c>
      <c r="L321" s="3">
        <v>1.496034678042242E-2</v>
      </c>
      <c r="M321" s="3">
        <v>2.0691151221659702E-2</v>
      </c>
      <c r="N321" s="3">
        <v>-6.5187653102401568E-4</v>
      </c>
      <c r="O321" s="3">
        <v>-2.6051440448567665E-3</v>
      </c>
      <c r="P321" s="3">
        <v>-1.0684749878581904E-2</v>
      </c>
      <c r="Q321" s="3">
        <v>-9.7878809210985296E-3</v>
      </c>
      <c r="R321" s="3">
        <v>3.4589338357219258E-2</v>
      </c>
      <c r="S321" s="3">
        <v>2.765430404152272E-2</v>
      </c>
      <c r="T321" s="3">
        <v>3.1991827239986484E-3</v>
      </c>
      <c r="U321" s="3">
        <v>-1.090978650409806E-2</v>
      </c>
      <c r="V321" s="3">
        <v>2.5906538858613899E-3</v>
      </c>
      <c r="W321" s="3">
        <v>-1.2531241099211655E-2</v>
      </c>
      <c r="X321" s="3">
        <v>1.1162510209638068E-2</v>
      </c>
      <c r="Y321" s="3">
        <v>4.1490743227609065E-3</v>
      </c>
      <c r="Z321" s="3">
        <v>-5.2287581699346445E-3</v>
      </c>
      <c r="AA321" s="3">
        <v>3.8279517893378176E-2</v>
      </c>
      <c r="AB321" s="3">
        <v>1.0257061153561692E-2</v>
      </c>
      <c r="AC321" s="3">
        <v>1.1074967457981545E-2</v>
      </c>
      <c r="AD321" s="3">
        <v>1.0402750576967735E-2</v>
      </c>
      <c r="AE321" s="3">
        <v>1.9362151958012986E-2</v>
      </c>
      <c r="AF321" s="3">
        <v>1.5613143162723345E-2</v>
      </c>
      <c r="AG321" s="3">
        <v>5.9957173447536191E-3</v>
      </c>
      <c r="AH321" s="3">
        <v>0</v>
      </c>
      <c r="AI321" s="3">
        <v>2.0377042731873081E-2</v>
      </c>
      <c r="AJ321" s="3">
        <v>1.1502558630392316E-2</v>
      </c>
      <c r="AK321" s="3">
        <v>1.6528925619834725E-2</v>
      </c>
      <c r="AL321" s="3">
        <v>1.9232626226590506E-2</v>
      </c>
      <c r="AM321" s="3">
        <v>1.1794199716627079E-2</v>
      </c>
      <c r="AN321" s="3">
        <v>2.0600353388025978E-2</v>
      </c>
    </row>
    <row r="322" spans="1:40" x14ac:dyDescent="0.3">
      <c r="A322" s="101">
        <v>44775</v>
      </c>
      <c r="B322" s="3">
        <v>-1.0181040663625031E-2</v>
      </c>
      <c r="C322" s="3">
        <v>-2.188304304912363E-3</v>
      </c>
      <c r="D322" s="3">
        <v>-3.5946315922738663E-3</v>
      </c>
      <c r="E322" s="3">
        <v>-1.3462602228592448E-2</v>
      </c>
      <c r="F322" s="3">
        <v>-2.9602867494659135E-2</v>
      </c>
      <c r="G322" s="3">
        <v>-8.27369392750083E-3</v>
      </c>
      <c r="H322" s="3">
        <v>-2.424103670833688E-3</v>
      </c>
      <c r="I322" s="3">
        <v>-2.1070514774876089E-3</v>
      </c>
      <c r="J322" s="3">
        <v>4.8495000909322709E-3</v>
      </c>
      <c r="K322" s="3">
        <v>-3.5946315922738663E-3</v>
      </c>
      <c r="L322" s="3">
        <v>-5.8778223990368318E-3</v>
      </c>
      <c r="M322" s="3">
        <v>1.9409101130237981E-3</v>
      </c>
      <c r="N322" s="3">
        <v>8.386783248933372E-4</v>
      </c>
      <c r="O322" s="3">
        <v>-2.188304304912363E-3</v>
      </c>
      <c r="P322" s="3">
        <v>-1.9637210621639232E-3</v>
      </c>
      <c r="Q322" s="3">
        <v>-3.2948939861992911E-2</v>
      </c>
      <c r="R322" s="3">
        <v>0</v>
      </c>
      <c r="S322" s="3">
        <v>0</v>
      </c>
      <c r="T322" s="3">
        <v>-3.4546909487118359E-3</v>
      </c>
      <c r="U322" s="3">
        <v>2.4550841280155326E-2</v>
      </c>
      <c r="V322" s="3">
        <v>0</v>
      </c>
      <c r="W322" s="3">
        <v>-5.0762025789976217E-3</v>
      </c>
      <c r="X322" s="3">
        <v>-1.2116316965975222E-2</v>
      </c>
      <c r="Y322" s="3">
        <v>-7.0561376524841801E-3</v>
      </c>
      <c r="Z322" s="3">
        <v>1.1826544021024949E-2</v>
      </c>
      <c r="AA322" s="3">
        <v>3.1006484408873038E-3</v>
      </c>
      <c r="AB322" s="3">
        <v>-6.0119719051929287E-4</v>
      </c>
      <c r="AC322" s="3">
        <v>5.9446923471359872E-3</v>
      </c>
      <c r="AD322" s="3">
        <v>2.9890199148457698E-3</v>
      </c>
      <c r="AE322" s="3">
        <v>-3.2960698324023029E-3</v>
      </c>
      <c r="AF322" s="3">
        <v>9.1743503097252519E-3</v>
      </c>
      <c r="AG322" s="3">
        <v>9.791358024691485E-3</v>
      </c>
      <c r="AH322" s="3">
        <v>4.6116592848638317E-2</v>
      </c>
      <c r="AI322" s="3">
        <v>-8.0765647924961569E-3</v>
      </c>
      <c r="AJ322" s="3">
        <v>1.5317980050812987E-3</v>
      </c>
      <c r="AK322" s="3">
        <v>6.5040650406504127E-2</v>
      </c>
      <c r="AL322" s="3">
        <v>9.206240790231475E-3</v>
      </c>
      <c r="AM322" s="3">
        <v>1.444996612212316E-4</v>
      </c>
      <c r="AN322" s="3">
        <v>1.2220314729851967E-2</v>
      </c>
    </row>
    <row r="323" spans="1:40" x14ac:dyDescent="0.3">
      <c r="A323" s="101">
        <v>44776</v>
      </c>
      <c r="B323" s="3">
        <v>1.1657130409774948E-2</v>
      </c>
      <c r="C323" s="3">
        <v>1.7686383568814225E-3</v>
      </c>
      <c r="D323" s="3">
        <v>2.1916303924407791E-3</v>
      </c>
      <c r="E323" s="3">
        <v>7.4225095534222758E-3</v>
      </c>
      <c r="F323" s="3">
        <v>8.5564944179396737E-3</v>
      </c>
      <c r="G323" s="3">
        <v>-3.14520257198019E-2</v>
      </c>
      <c r="H323" s="3">
        <v>6.2099852512852442E-4</v>
      </c>
      <c r="I323" s="3">
        <v>4.2229577724124043E-3</v>
      </c>
      <c r="J323" s="3">
        <v>1.2910165814478451E-2</v>
      </c>
      <c r="K323" s="3">
        <v>2.1916303924407791E-3</v>
      </c>
      <c r="L323" s="3">
        <v>-1.3462602228592448E-2</v>
      </c>
      <c r="M323" s="3">
        <v>-8.6097720320664939E-4</v>
      </c>
      <c r="N323" s="3">
        <v>5.7727131191818697E-3</v>
      </c>
      <c r="O323" s="3">
        <v>1.7686383568814225E-3</v>
      </c>
      <c r="P323" s="3">
        <v>4.0334481062469271E-2</v>
      </c>
      <c r="Q323" s="3">
        <v>2.385003998543812E-2</v>
      </c>
      <c r="R323" s="3">
        <v>2.4556146569676994E-2</v>
      </c>
      <c r="S323" s="3">
        <v>-3.0235266246472541E-2</v>
      </c>
      <c r="T323" s="3">
        <v>2.7466625409132202E-2</v>
      </c>
      <c r="U323" s="3">
        <v>-4.8619575870451189E-2</v>
      </c>
      <c r="V323" s="3">
        <v>-1.0335945735280145E-2</v>
      </c>
      <c r="W323" s="3">
        <v>-1.4285691833384876E-2</v>
      </c>
      <c r="X323" s="3">
        <v>5.4510767361980921E-4</v>
      </c>
      <c r="Y323" s="3">
        <v>-2.0870647007758928E-2</v>
      </c>
      <c r="Z323" s="3">
        <v>-6.4935064935064705E-3</v>
      </c>
      <c r="AA323" s="3">
        <v>3.8250476905114603E-3</v>
      </c>
      <c r="AB323" s="3">
        <v>-8.4211081527399735E-3</v>
      </c>
      <c r="AC323" s="3">
        <v>7.8794148483101265E-3</v>
      </c>
      <c r="AD323" s="3">
        <v>-3.3112780290588391E-3</v>
      </c>
      <c r="AE323" s="3">
        <v>-9.3885038234415782E-3</v>
      </c>
      <c r="AF323" s="3">
        <v>6.6339483193832201E-3</v>
      </c>
      <c r="AG323" s="3">
        <v>-2.9510540873126851E-3</v>
      </c>
      <c r="AH323" s="3">
        <v>-1.7788179801224737E-2</v>
      </c>
      <c r="AI323" s="3">
        <v>7.4173478917143685E-3</v>
      </c>
      <c r="AJ323" s="3">
        <v>-8.2348236936687959E-4</v>
      </c>
      <c r="AK323" s="3">
        <v>-1.5267175572519097E-2</v>
      </c>
      <c r="AL323" s="3">
        <v>3.8729200368889383E-3</v>
      </c>
      <c r="AM323" s="3">
        <v>-1.0534605960200212E-2</v>
      </c>
      <c r="AN323" s="3">
        <v>-1.9965091325103352E-3</v>
      </c>
    </row>
    <row r="324" spans="1:40" x14ac:dyDescent="0.3">
      <c r="A324" s="101">
        <v>44777</v>
      </c>
      <c r="B324" s="3">
        <v>2.2819694700412427E-2</v>
      </c>
      <c r="C324" s="3">
        <v>1.7655157979217431E-3</v>
      </c>
      <c r="D324" s="3">
        <v>6.8184237321570226E-4</v>
      </c>
      <c r="E324" s="3">
        <v>5.4457169892505363E-3</v>
      </c>
      <c r="F324" s="3">
        <v>2.7665130030704678E-2</v>
      </c>
      <c r="G324" s="3">
        <v>1.7141117040862078E-2</v>
      </c>
      <c r="H324" s="3">
        <v>5.147041463028002E-3</v>
      </c>
      <c r="I324" s="3">
        <v>-5.8873049988541933E-3</v>
      </c>
      <c r="J324" s="3">
        <v>2.3830951694972697E-4</v>
      </c>
      <c r="K324" s="3">
        <v>6.8184237321570226E-4</v>
      </c>
      <c r="L324" s="3">
        <v>7.4225095534222758E-3</v>
      </c>
      <c r="M324" s="3">
        <v>-1.055575228590057E-2</v>
      </c>
      <c r="N324" s="3">
        <v>-1.1108017416026001E-3</v>
      </c>
      <c r="O324" s="3">
        <v>1.7655157979217431E-3</v>
      </c>
      <c r="P324" s="3">
        <v>8.0378250591017358E-3</v>
      </c>
      <c r="Q324" s="3">
        <v>-9.1513530424329071E-3</v>
      </c>
      <c r="R324" s="3">
        <v>-1.6275297841397123E-2</v>
      </c>
      <c r="S324" s="3">
        <v>-5.6507670764153646E-3</v>
      </c>
      <c r="T324" s="3">
        <v>1.6350862339569078E-2</v>
      </c>
      <c r="U324" s="3">
        <v>2.7194714289416139E-2</v>
      </c>
      <c r="V324" s="3">
        <v>3.2637152896896858E-2</v>
      </c>
      <c r="W324" s="3">
        <v>5.5382899426725064E-2</v>
      </c>
      <c r="X324" s="3">
        <v>-5.7204850373328356E-3</v>
      </c>
      <c r="Y324" s="3">
        <v>3.2365613543015363E-2</v>
      </c>
      <c r="Z324" s="3">
        <v>5.6209150326797346E-2</v>
      </c>
      <c r="AA324" s="3">
        <v>-1.4116978386155738E-2</v>
      </c>
      <c r="AB324" s="3">
        <v>-5.527344583322491E-3</v>
      </c>
      <c r="AC324" s="3">
        <v>-1.088522988333444E-2</v>
      </c>
      <c r="AD324" s="3">
        <v>-2.3588046119137097E-2</v>
      </c>
      <c r="AE324" s="3">
        <v>-4.158771595443045E-3</v>
      </c>
      <c r="AF324" s="3">
        <v>-2.4652299795237181E-2</v>
      </c>
      <c r="AG324" s="3">
        <v>-7.1881606765326917E-3</v>
      </c>
      <c r="AH324" s="3">
        <v>-4.4094358874373005E-2</v>
      </c>
      <c r="AI324" s="3">
        <v>-1.007526463667844E-2</v>
      </c>
      <c r="AJ324" s="3">
        <v>-1.7192704165780021E-2</v>
      </c>
      <c r="AK324" s="3">
        <v>-1.5503875968992262E-2</v>
      </c>
      <c r="AL324" s="3">
        <v>-5.7852117338624935E-3</v>
      </c>
      <c r="AM324" s="3">
        <v>4.6385513005307846E-3</v>
      </c>
      <c r="AN324" s="3">
        <v>5.0982547178389818E-3</v>
      </c>
    </row>
    <row r="325" spans="1:40" x14ac:dyDescent="0.3">
      <c r="A325" s="101">
        <v>44778</v>
      </c>
      <c r="B325" s="3">
        <v>-4.4175993081954233E-4</v>
      </c>
      <c r="C325" s="3">
        <v>-6.6971763892019337E-3</v>
      </c>
      <c r="D325" s="3">
        <v>-4.800433433669639E-3</v>
      </c>
      <c r="E325" s="3">
        <v>-4.5514301246161841E-3</v>
      </c>
      <c r="F325" s="3">
        <v>2.0459422633458183E-2</v>
      </c>
      <c r="G325" s="3">
        <v>2.748023057526551E-2</v>
      </c>
      <c r="H325" s="3">
        <v>5.4361139167870384E-4</v>
      </c>
      <c r="I325" s="3">
        <v>-1.6074401212065381E-2</v>
      </c>
      <c r="J325" s="3">
        <v>-8.3353527844171765E-4</v>
      </c>
      <c r="K325" s="3">
        <v>-4.800433433669639E-3</v>
      </c>
      <c r="L325" s="3">
        <v>5.4457169892505363E-3</v>
      </c>
      <c r="M325" s="3">
        <v>3.2440627041149576E-2</v>
      </c>
      <c r="N325" s="3">
        <v>3.1510876523075438E-3</v>
      </c>
      <c r="O325" s="3">
        <v>-6.6971763892019337E-3</v>
      </c>
      <c r="P325" s="3">
        <v>-3.0956848030018767E-2</v>
      </c>
      <c r="Q325" s="3">
        <v>1.1754805819966406E-2</v>
      </c>
      <c r="R325" s="3">
        <v>-8.2312748723890015E-4</v>
      </c>
      <c r="S325" s="3">
        <v>0</v>
      </c>
      <c r="T325" s="3">
        <v>5.8733395106826064E-3</v>
      </c>
      <c r="U325" s="3">
        <v>3.7668886366754244E-2</v>
      </c>
      <c r="V325" s="3">
        <v>-2.5285301883709041E-3</v>
      </c>
      <c r="W325" s="3">
        <v>-3.9234695087115821E-3</v>
      </c>
      <c r="X325" s="3">
        <v>-1.1232876712328674E-2</v>
      </c>
      <c r="Y325" s="3">
        <v>4.4968459338581585E-3</v>
      </c>
      <c r="Z325" s="3">
        <v>-2.4752475247524224E-3</v>
      </c>
      <c r="AA325" s="3">
        <v>1.5346012256777279E-2</v>
      </c>
      <c r="AB325" s="3">
        <v>7.1846646287052939E-3</v>
      </c>
      <c r="AC325" s="3">
        <v>2.2641198437878061E-2</v>
      </c>
      <c r="AD325" s="3">
        <v>1.5651626339165503E-2</v>
      </c>
      <c r="AE325" s="3">
        <v>1.4289769886363567E-2</v>
      </c>
      <c r="AF325" s="3">
        <v>2.3273263923649441E-2</v>
      </c>
      <c r="AG325" s="3">
        <v>-1.7035349233390832E-3</v>
      </c>
      <c r="AH325" s="3">
        <v>3.607900572289572E-2</v>
      </c>
      <c r="AI325" s="3">
        <v>4.7533014341218423E-3</v>
      </c>
      <c r="AJ325" s="3">
        <v>5.6106377957307711E-3</v>
      </c>
      <c r="AK325" s="3">
        <v>4.3307086614173179E-2</v>
      </c>
      <c r="AL325" s="3">
        <v>1.708031763275265E-2</v>
      </c>
      <c r="AM325" s="3">
        <v>1.5996488184364183E-2</v>
      </c>
      <c r="AN325" s="3">
        <v>1.0141754943152758E-2</v>
      </c>
    </row>
    <row r="326" spans="1:40" x14ac:dyDescent="0.3">
      <c r="A326" s="101">
        <v>44781</v>
      </c>
      <c r="B326" s="3">
        <v>-1.1270706033215446E-2</v>
      </c>
      <c r="C326" s="3">
        <v>-7.5939797347731926E-3</v>
      </c>
      <c r="D326" s="3">
        <v>-1.1534617834543287E-3</v>
      </c>
      <c r="E326" s="3">
        <v>3.0176831059709171E-3</v>
      </c>
      <c r="F326" s="3">
        <v>3.8691671699400323E-3</v>
      </c>
      <c r="G326" s="3">
        <v>-6.181859289839251E-4</v>
      </c>
      <c r="H326" s="3">
        <v>-1.740623606075684E-3</v>
      </c>
      <c r="I326" s="3">
        <v>4.2105493115629413E-3</v>
      </c>
      <c r="J326" s="3">
        <v>-1.1561285064538586E-2</v>
      </c>
      <c r="K326" s="3">
        <v>-1.1534617834543287E-3</v>
      </c>
      <c r="L326" s="3">
        <v>-4.5514301246161841E-3</v>
      </c>
      <c r="M326" s="3">
        <v>-2.8679819851531833E-2</v>
      </c>
      <c r="N326" s="3">
        <v>-4.4345945414174812E-3</v>
      </c>
      <c r="O326" s="3">
        <v>-7.5939797347731926E-3</v>
      </c>
      <c r="P326" s="3">
        <v>-2.9041626331073921E-3</v>
      </c>
      <c r="Q326" s="3">
        <v>4.9792284657681728E-3</v>
      </c>
      <c r="R326" s="3">
        <v>-2.471416752778335E-3</v>
      </c>
      <c r="S326" s="3">
        <v>3.2096059157416305E-2</v>
      </c>
      <c r="T326" s="3">
        <v>-1.3962863021578684E-2</v>
      </c>
      <c r="U326" s="3">
        <v>-2.6883583846161456E-2</v>
      </c>
      <c r="V326" s="3">
        <v>-1.7743950656375341E-2</v>
      </c>
      <c r="W326" s="3">
        <v>3.5450430474513986E-3</v>
      </c>
      <c r="X326" s="3">
        <v>1.1083458021612454E-2</v>
      </c>
      <c r="Y326" s="3">
        <v>1.7086960261527354E-2</v>
      </c>
      <c r="Z326" s="3">
        <v>0</v>
      </c>
      <c r="AA326" s="3">
        <v>2.6674353372897839E-2</v>
      </c>
      <c r="AB326" s="3">
        <v>3.0417189767246458E-2</v>
      </c>
      <c r="AC326" s="3">
        <v>2.1549523367019336E-2</v>
      </c>
      <c r="AD326" s="3">
        <v>1.0049369196188434E-3</v>
      </c>
      <c r="AE326" s="3">
        <v>-3.1650141533344452E-3</v>
      </c>
      <c r="AF326" s="3">
        <v>-1.6140814749125935E-2</v>
      </c>
      <c r="AG326" s="3">
        <v>4.2662114220906236E-4</v>
      </c>
      <c r="AH326" s="3">
        <v>-1.5741715812282848E-2</v>
      </c>
      <c r="AI326" s="3">
        <v>-7.5136602247203917E-3</v>
      </c>
      <c r="AJ326" s="3">
        <v>2.6852349537260004E-3</v>
      </c>
      <c r="AK326" s="3">
        <v>-4.1509433962264107E-2</v>
      </c>
      <c r="AL326" s="3">
        <v>6.357577147757614E-3</v>
      </c>
      <c r="AM326" s="3">
        <v>1.2989354864415298E-2</v>
      </c>
      <c r="AN326" s="3">
        <v>2.1476998182712835E-2</v>
      </c>
    </row>
    <row r="327" spans="1:40" x14ac:dyDescent="0.3">
      <c r="A327" s="101">
        <v>44782</v>
      </c>
      <c r="B327" s="3">
        <v>-5.3643466136725328E-3</v>
      </c>
      <c r="C327" s="3">
        <v>-5.3635845898309786E-3</v>
      </c>
      <c r="D327" s="3">
        <v>6.4229299165631352E-4</v>
      </c>
      <c r="E327" s="3">
        <v>2.9173719159178708E-3</v>
      </c>
      <c r="F327" s="3">
        <v>6.6573174008374338E-3</v>
      </c>
      <c r="G327" s="3">
        <v>-1.9834225801703586E-2</v>
      </c>
      <c r="H327" s="3">
        <v>3.9879052578531988E-3</v>
      </c>
      <c r="I327" s="3">
        <v>-1.7543421822079079E-3</v>
      </c>
      <c r="J327" s="3">
        <v>-4.4617897819766664E-3</v>
      </c>
      <c r="K327" s="3">
        <v>6.4229299165631352E-4</v>
      </c>
      <c r="L327" s="3">
        <v>3.0176831059709171E-3</v>
      </c>
      <c r="M327" s="3">
        <v>-4.3204536621699152E-2</v>
      </c>
      <c r="N327" s="3">
        <v>7.3310724383466811E-3</v>
      </c>
      <c r="O327" s="3">
        <v>-5.3635845898309786E-3</v>
      </c>
      <c r="P327" s="3">
        <v>4.854854368931572E-4</v>
      </c>
      <c r="Q327" s="3">
        <v>1.9818340019712489E-2</v>
      </c>
      <c r="R327" s="3">
        <v>6.028605671060467E-3</v>
      </c>
      <c r="S327" s="3">
        <v>0</v>
      </c>
      <c r="T327" s="3">
        <v>5.3038103425995908E-2</v>
      </c>
      <c r="U327" s="3">
        <v>3.4312837869098063E-2</v>
      </c>
      <c r="V327" s="3">
        <v>3.3548453006958849E-2</v>
      </c>
      <c r="W327" s="3">
        <v>-1.2363878519906108E-2</v>
      </c>
      <c r="X327" s="3">
        <v>2.739928597428704E-4</v>
      </c>
      <c r="Y327" s="3">
        <v>-5.2693014105673541E-3</v>
      </c>
      <c r="Z327" s="3">
        <v>-3.7220843672457985E-3</v>
      </c>
      <c r="AA327" s="3">
        <v>6.5808319423241949E-3</v>
      </c>
      <c r="AB327" s="3">
        <v>-8.4248207051066479E-3</v>
      </c>
      <c r="AC327" s="3">
        <v>-3.3625781183988851E-3</v>
      </c>
      <c r="AD327" s="3">
        <v>1.2717536907222809E-2</v>
      </c>
      <c r="AE327" s="3">
        <v>-9.8342232621672927E-3</v>
      </c>
      <c r="AF327" s="3">
        <v>3.032565897680756E-2</v>
      </c>
      <c r="AG327" s="3">
        <v>1.5351726424233453E-2</v>
      </c>
      <c r="AH327" s="3">
        <v>4.0388138574325551E-3</v>
      </c>
      <c r="AI327" s="3">
        <v>-4.5985138425306766E-3</v>
      </c>
      <c r="AJ327" s="3">
        <v>-1.9579713449448751E-2</v>
      </c>
      <c r="AK327" s="3">
        <v>2.3622047244094509E-2</v>
      </c>
      <c r="AL327" s="3">
        <v>-5.1502205637534787E-5</v>
      </c>
      <c r="AM327" s="3">
        <v>5.3163464573360193E-3</v>
      </c>
      <c r="AN327" s="3">
        <v>1.4385202779360177E-2</v>
      </c>
    </row>
    <row r="328" spans="1:40" x14ac:dyDescent="0.3">
      <c r="A328" s="101">
        <v>44783</v>
      </c>
      <c r="B328" s="3">
        <v>2.9213750276305371E-3</v>
      </c>
      <c r="C328" s="3">
        <v>5.7519677090633594E-3</v>
      </c>
      <c r="D328" s="3">
        <v>8.7019326324662676E-4</v>
      </c>
      <c r="E328" s="3">
        <v>3.499900296764908E-3</v>
      </c>
      <c r="F328" s="3">
        <v>2.2972454549697596E-2</v>
      </c>
      <c r="G328" s="3">
        <v>3.992429583413077E-2</v>
      </c>
      <c r="H328" s="3">
        <v>2.6067722537704376E-3</v>
      </c>
      <c r="I328" s="3">
        <v>-7.0298769771529055E-3</v>
      </c>
      <c r="J328" s="3">
        <v>1.2596903295502027E-2</v>
      </c>
      <c r="K328" s="3">
        <v>8.7019326324662676E-4</v>
      </c>
      <c r="L328" s="3">
        <v>2.9173719159178708E-3</v>
      </c>
      <c r="M328" s="3">
        <v>-2.4506421601996897E-2</v>
      </c>
      <c r="N328" s="3">
        <v>-2.8097594691579481E-2</v>
      </c>
      <c r="O328" s="3">
        <v>5.7519677090633594E-3</v>
      </c>
      <c r="P328" s="3">
        <v>-1.4556525251989149E-3</v>
      </c>
      <c r="Q328" s="3">
        <v>2.9959486715922308E-2</v>
      </c>
      <c r="R328" s="3">
        <v>-1.4529610097680295E-2</v>
      </c>
      <c r="S328" s="3">
        <v>0</v>
      </c>
      <c r="T328" s="3">
        <v>1.4425426375396374E-2</v>
      </c>
      <c r="U328" s="3">
        <v>1.1908779851862094E-2</v>
      </c>
      <c r="V328" s="3">
        <v>8.739009430586607E-3</v>
      </c>
      <c r="W328" s="3">
        <v>1.291606043912062E-2</v>
      </c>
      <c r="X328" s="3">
        <v>-1.9999999999999914E-2</v>
      </c>
      <c r="Y328" s="3">
        <v>-6.4814218785369856E-3</v>
      </c>
      <c r="Z328" s="3">
        <v>-1.4943960149439505E-2</v>
      </c>
      <c r="AA328" s="3">
        <v>-2.215519445940263E-3</v>
      </c>
      <c r="AB328" s="3">
        <v>4.478762037253824E-3</v>
      </c>
      <c r="AC328" s="3">
        <v>7.0377536106574785E-3</v>
      </c>
      <c r="AD328" s="3">
        <v>6.2790193366239139E-3</v>
      </c>
      <c r="AE328" s="3">
        <v>4.4551680667735807E-2</v>
      </c>
      <c r="AF328" s="3">
        <v>-9.6493923572575104E-4</v>
      </c>
      <c r="AG328" s="3">
        <v>1.5539731858031511E-2</v>
      </c>
      <c r="AH328" s="3">
        <v>-7.6428944420262211E-3</v>
      </c>
      <c r="AI328" s="3">
        <v>5.7465380670687193E-3</v>
      </c>
      <c r="AJ328" s="3">
        <v>-1.0927251608374585E-3</v>
      </c>
      <c r="AK328" s="3">
        <v>-3.8461538461538491E-2</v>
      </c>
      <c r="AL328" s="3">
        <v>2.6122903873606333E-3</v>
      </c>
      <c r="AM328" s="3">
        <v>2.2628656432373495E-2</v>
      </c>
      <c r="AN328" s="3">
        <v>2.3654095360016439E-3</v>
      </c>
    </row>
    <row r="329" spans="1:40" x14ac:dyDescent="0.3">
      <c r="A329" s="101">
        <v>44784</v>
      </c>
      <c r="B329" s="3">
        <v>4.0331704352232966E-3</v>
      </c>
      <c r="C329" s="3">
        <v>6.2195265687614689E-3</v>
      </c>
      <c r="D329" s="3">
        <v>-3.274206591486104E-3</v>
      </c>
      <c r="E329" s="3">
        <v>3.8500656994725859E-3</v>
      </c>
      <c r="F329" s="3">
        <v>-7.8257427312304634E-3</v>
      </c>
      <c r="G329" s="3">
        <v>-1.4280504759249957E-2</v>
      </c>
      <c r="H329" s="3">
        <v>1.0213072733098575E-3</v>
      </c>
      <c r="I329" s="3">
        <v>7.079646017699121E-3</v>
      </c>
      <c r="J329" s="3">
        <v>3.588807902704243E-4</v>
      </c>
      <c r="K329" s="3">
        <v>-3.274206591486104E-3</v>
      </c>
      <c r="L329" s="3">
        <v>3.499900296764908E-3</v>
      </c>
      <c r="M329" s="3">
        <v>6.513095765848213E-3</v>
      </c>
      <c r="N329" s="3">
        <v>7.8672432195035953E-3</v>
      </c>
      <c r="O329" s="3">
        <v>6.2195265687614689E-3</v>
      </c>
      <c r="P329" s="3">
        <v>-1.1175898931000822E-2</v>
      </c>
      <c r="Q329" s="3">
        <v>-1.8867931759610355E-2</v>
      </c>
      <c r="R329" s="3">
        <v>0</v>
      </c>
      <c r="S329" s="3">
        <v>5.8525788086295919E-3</v>
      </c>
      <c r="T329" s="3">
        <v>-2.7476600293550764E-2</v>
      </c>
      <c r="U329" s="3">
        <v>-2.0679204404981513E-2</v>
      </c>
      <c r="V329" s="3">
        <v>-7.4256863743369849E-3</v>
      </c>
      <c r="W329" s="3">
        <v>-2.2069559566404447E-2</v>
      </c>
      <c r="X329" s="3">
        <v>-3.4386329326251228E-2</v>
      </c>
      <c r="Y329" s="3">
        <v>8.4682349575741916E-3</v>
      </c>
      <c r="Z329" s="3">
        <v>3.7926675094817003E-3</v>
      </c>
      <c r="AA329" s="3">
        <v>-2.3157895760665985E-3</v>
      </c>
      <c r="AB329" s="3">
        <v>7.4747882616711643E-3</v>
      </c>
      <c r="AC329" s="3">
        <v>-1.77201654564638E-2</v>
      </c>
      <c r="AD329" s="3">
        <v>3.2834420211233853E-4</v>
      </c>
      <c r="AE329" s="3">
        <v>-5.8706915641832481E-2</v>
      </c>
      <c r="AF329" s="3">
        <v>3.13930719182482E-3</v>
      </c>
      <c r="AG329" s="3">
        <v>-5.3763854425144765E-3</v>
      </c>
      <c r="AH329" s="3">
        <v>1.3376578179393278E-2</v>
      </c>
      <c r="AI329" s="3">
        <v>3.3608599455301289E-3</v>
      </c>
      <c r="AJ329" s="3">
        <v>-5.4081980906371518E-3</v>
      </c>
      <c r="AK329" s="3">
        <v>3.9999999999999151E-3</v>
      </c>
      <c r="AL329" s="3">
        <v>-1.1128488745645504E-2</v>
      </c>
      <c r="AM329" s="3">
        <v>1.1132648860225421E-2</v>
      </c>
      <c r="AN329" s="3">
        <v>-4.5644783770821531E-3</v>
      </c>
    </row>
    <row r="330" spans="1:40" x14ac:dyDescent="0.3">
      <c r="A330" s="101">
        <v>44785</v>
      </c>
      <c r="B330" s="3">
        <v>1.5621447029708028E-3</v>
      </c>
      <c r="C330" s="3">
        <v>-1.3500193007385194E-3</v>
      </c>
      <c r="D330" s="3">
        <v>-3.7055952310995227E-3</v>
      </c>
      <c r="E330" s="3">
        <v>1.2543361036541124E-2</v>
      </c>
      <c r="F330" s="3">
        <v>-7.2016859671876843E-3</v>
      </c>
      <c r="G330" s="3">
        <v>3.2216986255979942E-2</v>
      </c>
      <c r="H330" s="3">
        <v>-9.6024966491294918E-4</v>
      </c>
      <c r="I330" s="3">
        <v>-7.4692442882250305E-3</v>
      </c>
      <c r="J330" s="3">
        <v>-2.6304011736823451E-3</v>
      </c>
      <c r="K330" s="3">
        <v>-3.7055952310995227E-3</v>
      </c>
      <c r="L330" s="3">
        <v>3.8500656994725859E-3</v>
      </c>
      <c r="M330" s="3">
        <v>9.2442338802864923E-3</v>
      </c>
      <c r="N330" s="3">
        <v>3.1787811215895578E-2</v>
      </c>
      <c r="O330" s="3">
        <v>-1.3500193007385194E-3</v>
      </c>
      <c r="P330" s="3">
        <v>4.9140540540539993E-3</v>
      </c>
      <c r="Q330" s="3">
        <v>-6.410258914292916E-3</v>
      </c>
      <c r="R330" s="3">
        <v>0</v>
      </c>
      <c r="S330" s="3">
        <v>-2.2107411483424405E-2</v>
      </c>
      <c r="T330" s="3">
        <v>9.9139548126035487E-4</v>
      </c>
      <c r="U330" s="3">
        <v>5.5278999769469733E-2</v>
      </c>
      <c r="V330" s="3">
        <v>7.4812397141454639E-3</v>
      </c>
      <c r="W330" s="3">
        <v>-2.5076714401391265E-3</v>
      </c>
      <c r="X330" s="3">
        <v>-5.7906773077376285E-4</v>
      </c>
      <c r="Y330" s="3">
        <v>-1.020090165575905E-2</v>
      </c>
      <c r="Z330" s="3">
        <v>-1.0075566750629731E-2</v>
      </c>
      <c r="AA330" s="3">
        <v>1.6111333795286729E-3</v>
      </c>
      <c r="AB330" s="3">
        <v>4.2304878733834253E-3</v>
      </c>
      <c r="AC330" s="3">
        <v>2.6114128187259117E-3</v>
      </c>
      <c r="AD330" s="3">
        <v>1.1818801732618026E-2</v>
      </c>
      <c r="AE330" s="3">
        <v>-1.2179286911001291E-2</v>
      </c>
      <c r="AF330" s="3">
        <v>-6.2590684007591277E-3</v>
      </c>
      <c r="AG330" s="3">
        <v>1.4553056738172792E-2</v>
      </c>
      <c r="AH330" s="3">
        <v>-1.1999962453082531E-2</v>
      </c>
      <c r="AI330" s="3">
        <v>-1.0607362112965093E-2</v>
      </c>
      <c r="AJ330" s="3">
        <v>-2.3218556778679465E-3</v>
      </c>
      <c r="AK330" s="3">
        <v>3.9840637450200131E-3</v>
      </c>
      <c r="AL330" s="3">
        <v>3.8552480819550243E-3</v>
      </c>
      <c r="AM330" s="3">
        <v>3.3642698842430837E-3</v>
      </c>
      <c r="AN330" s="3">
        <v>4.3110834977333834E-3</v>
      </c>
    </row>
    <row r="331" spans="1:40" x14ac:dyDescent="0.3">
      <c r="A331" s="101">
        <v>44788</v>
      </c>
      <c r="B331" s="3">
        <v>-1.9162209947076868E-2</v>
      </c>
      <c r="C331" s="3">
        <v>-3.9840090603409078E-3</v>
      </c>
      <c r="D331" s="3">
        <v>1.60823561362154E-3</v>
      </c>
      <c r="E331" s="3">
        <v>5.2136763632690489E-3</v>
      </c>
      <c r="F331" s="3">
        <v>3.4196888571223806E-2</v>
      </c>
      <c r="G331" s="3">
        <v>-3.4789869881711857E-2</v>
      </c>
      <c r="H331" s="3">
        <v>-3.8613775472742941E-3</v>
      </c>
      <c r="I331" s="3">
        <v>1.4165559982293062E-2</v>
      </c>
      <c r="J331" s="3">
        <v>-1.6786450285598748E-3</v>
      </c>
      <c r="K331" s="3">
        <v>1.60823561362154E-3</v>
      </c>
      <c r="L331" s="3">
        <v>1.2543361036541124E-2</v>
      </c>
      <c r="M331" s="3">
        <v>-9.1595607583951928E-3</v>
      </c>
      <c r="N331" s="3">
        <v>6.5628114306293039E-3</v>
      </c>
      <c r="O331" s="3">
        <v>-3.9840090603409078E-3</v>
      </c>
      <c r="P331" s="3">
        <v>-1.075799458396114E-2</v>
      </c>
      <c r="Q331" s="3">
        <v>2.1774240092924231E-2</v>
      </c>
      <c r="R331" s="3">
        <v>-3.8067440237380921E-2</v>
      </c>
      <c r="S331" s="3">
        <v>0</v>
      </c>
      <c r="T331" s="3">
        <v>-9.6558572858132258E-3</v>
      </c>
      <c r="U331" s="3">
        <v>2.2938009167938884E-2</v>
      </c>
      <c r="V331" s="3">
        <v>2.4752287914456615E-3</v>
      </c>
      <c r="W331" s="3">
        <v>-2.6143583726993505E-2</v>
      </c>
      <c r="X331" s="3">
        <v>-1.8539947856315266E-2</v>
      </c>
      <c r="Y331" s="3">
        <v>-1.6778721272584771E-2</v>
      </c>
      <c r="Z331" s="3">
        <v>-7.633587786259605E-3</v>
      </c>
      <c r="AA331" s="3">
        <v>2.6377838767458944E-2</v>
      </c>
      <c r="AB331" s="3">
        <v>1.5489232013204518E-2</v>
      </c>
      <c r="AC331" s="3">
        <v>1.5733755495302308E-2</v>
      </c>
      <c r="AD331" s="3">
        <v>1.0058365738378761E-2</v>
      </c>
      <c r="AE331" s="3">
        <v>7.0412366770491669E-3</v>
      </c>
      <c r="AF331" s="3">
        <v>8.2363948145444104E-3</v>
      </c>
      <c r="AG331" s="3">
        <v>-8.6065163934426168E-3</v>
      </c>
      <c r="AH331" s="3">
        <v>3.6436967764159754E-3</v>
      </c>
      <c r="AI331" s="3">
        <v>2.256068959599636E-4</v>
      </c>
      <c r="AJ331" s="3">
        <v>-3.9807123237703169E-3</v>
      </c>
      <c r="AK331" s="3">
        <v>-2.7777777777777714E-2</v>
      </c>
      <c r="AL331" s="3">
        <v>5.1390297415589642E-3</v>
      </c>
      <c r="AM331" s="3">
        <v>2.7399102849010187E-2</v>
      </c>
      <c r="AN331" s="3">
        <v>8.9820274920032819E-3</v>
      </c>
    </row>
    <row r="332" spans="1:40" x14ac:dyDescent="0.3">
      <c r="A332" s="101">
        <v>44789</v>
      </c>
      <c r="B332" s="3">
        <v>3.4074423188039733E-3</v>
      </c>
      <c r="C332" s="3">
        <v>-2.0357142742684794E-2</v>
      </c>
      <c r="D332" s="3">
        <v>1.0483042161655184E-2</v>
      </c>
      <c r="E332" s="3">
        <v>1.462890055505512E-3</v>
      </c>
      <c r="F332" s="3">
        <v>3.6740158810461325E-2</v>
      </c>
      <c r="G332" s="3">
        <v>8.2402374410990291E-5</v>
      </c>
      <c r="H332" s="3">
        <v>4.4660057558873348E-3</v>
      </c>
      <c r="I332" s="3">
        <v>3.0554343081623868E-3</v>
      </c>
      <c r="J332" s="3">
        <v>-1.5851973007530037E-2</v>
      </c>
      <c r="K332" s="3">
        <v>1.0483042161655184E-2</v>
      </c>
      <c r="L332" s="3">
        <v>5.2136763632690489E-3</v>
      </c>
      <c r="M332" s="3">
        <v>4.3910099376011152E-3</v>
      </c>
      <c r="N332" s="3">
        <v>1.2134341883845932E-2</v>
      </c>
      <c r="O332" s="3">
        <v>-2.0357142742684794E-2</v>
      </c>
      <c r="P332" s="3">
        <v>8.897676717745908E-3</v>
      </c>
      <c r="Q332" s="3">
        <v>3.5516945191267822E-2</v>
      </c>
      <c r="R332" s="3">
        <v>2.615166169550405E-2</v>
      </c>
      <c r="S332" s="3">
        <v>0</v>
      </c>
      <c r="T332" s="3">
        <v>3.0000033079786603E-2</v>
      </c>
      <c r="U332" s="3">
        <v>-2.7512710738106714E-2</v>
      </c>
      <c r="V332" s="3">
        <v>4.9383363508485193E-3</v>
      </c>
      <c r="W332" s="3">
        <v>-7.1192670314627338E-2</v>
      </c>
      <c r="X332" s="3">
        <v>-3.5420010760919686E-3</v>
      </c>
      <c r="Y332" s="3">
        <v>-1.3677616670437619E-2</v>
      </c>
      <c r="Z332" s="3">
        <v>-2.051282051282053E-2</v>
      </c>
      <c r="AA332" s="3">
        <v>1.2617476228390309E-3</v>
      </c>
      <c r="AB332" s="3">
        <v>-1.0083425120976194E-2</v>
      </c>
      <c r="AC332" s="3">
        <v>-1.206234257270513E-2</v>
      </c>
      <c r="AD332" s="3">
        <v>1.6062275107326354E-3</v>
      </c>
      <c r="AE332" s="3">
        <v>-2.9128403748110841E-2</v>
      </c>
      <c r="AF332" s="3">
        <v>-1.7059079060570918E-2</v>
      </c>
      <c r="AG332" s="3">
        <v>2.8937162921160199E-3</v>
      </c>
      <c r="AH332" s="3">
        <v>-2.8237974236470249E-3</v>
      </c>
      <c r="AI332" s="3">
        <v>-7.6723426587344485E-3</v>
      </c>
      <c r="AJ332" s="3">
        <v>-1.1866574163339843E-2</v>
      </c>
      <c r="AK332" s="3">
        <v>-4.0816326530613185E-3</v>
      </c>
      <c r="AL332" s="3">
        <v>-4.3671136628299634E-3</v>
      </c>
      <c r="AM332" s="3">
        <v>-1.0878903859610153E-3</v>
      </c>
      <c r="AN332" s="3">
        <v>4.6191738632840543E-3</v>
      </c>
    </row>
    <row r="333" spans="1:40" x14ac:dyDescent="0.3">
      <c r="A333" s="101">
        <v>44790</v>
      </c>
      <c r="B333" s="3">
        <v>-8.1502554418429584E-3</v>
      </c>
      <c r="C333" s="3">
        <v>4.156128684767741E-3</v>
      </c>
      <c r="D333" s="3">
        <v>-5.0490980502783415E-3</v>
      </c>
      <c r="E333" s="3">
        <v>-1.7484847982728556E-2</v>
      </c>
      <c r="F333" s="3">
        <v>-6.862110145316061E-2</v>
      </c>
      <c r="G333" s="3">
        <v>1.7835085335839412E-2</v>
      </c>
      <c r="H333" s="3">
        <v>-3.6356359027385189E-4</v>
      </c>
      <c r="I333" s="3">
        <v>2.436906005221931E-2</v>
      </c>
      <c r="J333" s="3">
        <v>5.8572145879283019E-3</v>
      </c>
      <c r="K333" s="3">
        <v>-5.0490980502783415E-3</v>
      </c>
      <c r="L333" s="3">
        <v>1.462890055505512E-3</v>
      </c>
      <c r="M333" s="3">
        <v>-2.830186443400531E-2</v>
      </c>
      <c r="N333" s="3">
        <v>3.5786864369671915E-4</v>
      </c>
      <c r="O333" s="3">
        <v>4.156128684767741E-3</v>
      </c>
      <c r="P333" s="3">
        <v>-2.4497305242528016E-3</v>
      </c>
      <c r="Q333" s="3">
        <v>-1.3719541473378756E-2</v>
      </c>
      <c r="R333" s="3">
        <v>1.7721746418372201E-3</v>
      </c>
      <c r="S333" s="3">
        <v>0</v>
      </c>
      <c r="T333" s="3">
        <v>-4.8547091843624345E-4</v>
      </c>
      <c r="U333" s="3">
        <v>2.4693374746001129E-2</v>
      </c>
      <c r="V333" s="3">
        <v>1.1056528392140818E-2</v>
      </c>
      <c r="W333" s="3">
        <v>2.7180217558961856E-2</v>
      </c>
      <c r="X333" s="3">
        <v>4.1470381603694872E-3</v>
      </c>
      <c r="Y333" s="3">
        <v>-5.4433058702492414E-3</v>
      </c>
      <c r="Z333" s="3">
        <v>7.8534031413613221E-3</v>
      </c>
      <c r="AA333" s="3">
        <v>1.3132317608842428E-3</v>
      </c>
      <c r="AB333" s="3">
        <v>-6.7051268325912603E-3</v>
      </c>
      <c r="AC333" s="3">
        <v>1.1388431073128765E-3</v>
      </c>
      <c r="AD333" s="3">
        <v>-8.6594719574181137E-3</v>
      </c>
      <c r="AE333" s="3">
        <v>1.1415179980792186E-2</v>
      </c>
      <c r="AF333" s="3">
        <v>-1.3933027264720921E-2</v>
      </c>
      <c r="AG333" s="3">
        <v>1.7312448474855652E-2</v>
      </c>
      <c r="AH333" s="3">
        <v>-4.854304972321621E-3</v>
      </c>
      <c r="AI333" s="3">
        <v>1.76250622051004E-3</v>
      </c>
      <c r="AJ333" s="3">
        <v>1.6364821739153258E-2</v>
      </c>
      <c r="AK333" s="3">
        <v>-2.0491803278688454E-2</v>
      </c>
      <c r="AL333" s="3">
        <v>2.0705601539899076E-4</v>
      </c>
      <c r="AM333" s="3">
        <v>-1.4041762508870747E-2</v>
      </c>
      <c r="AN333" s="3">
        <v>-1.172600238466044E-2</v>
      </c>
    </row>
    <row r="334" spans="1:40" x14ac:dyDescent="0.3">
      <c r="A334" s="101">
        <v>44791</v>
      </c>
      <c r="B334" s="3">
        <v>6.8479207834029534E-4</v>
      </c>
      <c r="C334" s="3">
        <v>-1.8515790726332769E-2</v>
      </c>
      <c r="D334" s="3">
        <v>-3.9463751401507237E-3</v>
      </c>
      <c r="E334" s="3">
        <v>2.0904715146054131E-2</v>
      </c>
      <c r="F334" s="3">
        <v>5.88026687222687E-3</v>
      </c>
      <c r="G334" s="3">
        <v>2.1447857142778198E-3</v>
      </c>
      <c r="H334" s="3">
        <v>-5.7056866677124881E-4</v>
      </c>
      <c r="I334" s="3">
        <v>8.9209426966464361E-3</v>
      </c>
      <c r="J334" s="3">
        <v>-1.7105434947266861E-2</v>
      </c>
      <c r="K334" s="3">
        <v>-3.9463751401507237E-3</v>
      </c>
      <c r="L334" s="3">
        <v>-1.7484847982728556E-2</v>
      </c>
      <c r="M334" s="3">
        <v>7.5775278238219947E-3</v>
      </c>
      <c r="N334" s="3">
        <v>6.7972902040002109E-3</v>
      </c>
      <c r="O334" s="3">
        <v>-1.8515790726332769E-2</v>
      </c>
      <c r="P334" s="3">
        <v>-1.2278977785904824E-2</v>
      </c>
      <c r="Q334" s="3">
        <v>-3.0911430759285765E-3</v>
      </c>
      <c r="R334" s="3">
        <v>1.3815152645134988E-2</v>
      </c>
      <c r="S334" s="3">
        <v>-3.7203957219736681E-4</v>
      </c>
      <c r="T334" s="3">
        <v>3.156971006164275E-3</v>
      </c>
      <c r="U334" s="3">
        <v>-8.4583618234795096E-3</v>
      </c>
      <c r="V334" s="3">
        <v>-1.7011006607952236E-2</v>
      </c>
      <c r="W334" s="3">
        <v>-9.7402362185995787E-3</v>
      </c>
      <c r="X334" s="3">
        <v>-8.8496749941195073E-3</v>
      </c>
      <c r="Y334" s="3">
        <v>6.6458432797978449E-3</v>
      </c>
      <c r="Z334" s="3">
        <v>6.4935064935064705E-3</v>
      </c>
      <c r="AA334" s="3">
        <v>-2.4627037290895715E-2</v>
      </c>
      <c r="AB334" s="3">
        <v>-3.3101721171321277E-2</v>
      </c>
      <c r="AC334" s="3">
        <v>1.825402116402097E-3</v>
      </c>
      <c r="AD334" s="3">
        <v>-2.5880669725492208E-3</v>
      </c>
      <c r="AE334" s="3">
        <v>-3.0018327926977985E-2</v>
      </c>
      <c r="AF334" s="3">
        <v>-1.7104742024348328E-2</v>
      </c>
      <c r="AG334" s="3">
        <v>-4.4570502431118082E-3</v>
      </c>
      <c r="AH334" s="3">
        <v>3.2520250990407625E-2</v>
      </c>
      <c r="AI334" s="3">
        <v>1.1336281192738102E-4</v>
      </c>
      <c r="AJ334" s="3">
        <v>1.5304764940264417E-3</v>
      </c>
      <c r="AK334" s="3">
        <v>8.3682008368200899E-3</v>
      </c>
      <c r="AL334" s="3">
        <v>-2.0650201957032297E-2</v>
      </c>
      <c r="AM334" s="3">
        <v>1.9747515537779929E-3</v>
      </c>
      <c r="AN334" s="3">
        <v>-4.3080055459911509E-3</v>
      </c>
    </row>
    <row r="335" spans="1:40" x14ac:dyDescent="0.3">
      <c r="A335" s="101">
        <v>44792</v>
      </c>
      <c r="B335" s="3">
        <v>-9.5803900258500524E-3</v>
      </c>
      <c r="C335" s="3">
        <v>9.0996954086793279E-3</v>
      </c>
      <c r="D335" s="3">
        <v>3.5596075802407437E-3</v>
      </c>
      <c r="E335" s="3">
        <v>4.4571630390933519E-3</v>
      </c>
      <c r="F335" s="3">
        <v>-9.284706604263995E-3</v>
      </c>
      <c r="G335" s="3">
        <v>-8.2377362632761984E-3</v>
      </c>
      <c r="H335" s="3">
        <v>-3.0047073748872893E-3</v>
      </c>
      <c r="I335" s="3">
        <v>4.4210484210526299E-2</v>
      </c>
      <c r="J335" s="3">
        <v>5.183931391630806E-3</v>
      </c>
      <c r="K335" s="3">
        <v>3.5596075802407437E-3</v>
      </c>
      <c r="L335" s="3">
        <v>2.0904715146054131E-2</v>
      </c>
      <c r="M335" s="3">
        <v>4.0423056179155335E-2</v>
      </c>
      <c r="N335" s="3">
        <v>8.2614672370442347E-3</v>
      </c>
      <c r="O335" s="3">
        <v>9.0996954086793279E-3</v>
      </c>
      <c r="P335" s="3">
        <v>-1.9393435137074286E-2</v>
      </c>
      <c r="Q335" s="3">
        <v>-4.6511406176908071E-3</v>
      </c>
      <c r="R335" s="3">
        <v>0</v>
      </c>
      <c r="S335" s="3">
        <v>0</v>
      </c>
      <c r="T335" s="3">
        <v>7.0199967641580811E-3</v>
      </c>
      <c r="U335" s="3">
        <v>1.0944803172468763E-2</v>
      </c>
      <c r="V335" s="3">
        <v>4.9444405392523065E-3</v>
      </c>
      <c r="W335" s="3">
        <v>1.4207730724045371E-2</v>
      </c>
      <c r="X335" s="3">
        <v>8.1547683425457471E-2</v>
      </c>
      <c r="Y335" s="3">
        <v>9.7087378640776691E-3</v>
      </c>
      <c r="Z335" s="3">
        <v>1.6774193548387082E-2</v>
      </c>
      <c r="AA335" s="3">
        <v>9.1406628236744298E-3</v>
      </c>
      <c r="AB335" s="3">
        <v>3.893517380835862E-3</v>
      </c>
      <c r="AC335" s="3">
        <v>-5.7566663721952986E-3</v>
      </c>
      <c r="AD335" s="3">
        <v>6.1627602854409163E-3</v>
      </c>
      <c r="AE335" s="3">
        <v>-1.6691992690538903E-2</v>
      </c>
      <c r="AF335" s="3">
        <v>1.8159105792977644E-2</v>
      </c>
      <c r="AG335" s="3">
        <v>7.3260073260073147E-3</v>
      </c>
      <c r="AH335" s="3">
        <v>-4.3307060588198276E-2</v>
      </c>
      <c r="AI335" s="3">
        <v>-5.6736012593734209E-4</v>
      </c>
      <c r="AJ335" s="3">
        <v>-2.4879200553778204E-2</v>
      </c>
      <c r="AK335" s="3">
        <v>-1.2448132780083091E-2</v>
      </c>
      <c r="AL335" s="3">
        <v>1.0879228201632347E-2</v>
      </c>
      <c r="AM335" s="3">
        <v>-1.5750256308052848E-2</v>
      </c>
      <c r="AN335" s="3">
        <v>-3.4532896311017598E-3</v>
      </c>
    </row>
    <row r="336" spans="1:40" x14ac:dyDescent="0.3">
      <c r="A336" s="101">
        <v>44795</v>
      </c>
      <c r="B336" s="3">
        <v>1.1976088487279102E-2</v>
      </c>
      <c r="C336" s="3">
        <v>4.6186178884015357E-3</v>
      </c>
      <c r="D336" s="3">
        <v>-4.0589235471297962E-3</v>
      </c>
      <c r="E336" s="3">
        <v>1.669556617533034E-3</v>
      </c>
      <c r="F336" s="3">
        <v>7.9833575843948745E-3</v>
      </c>
      <c r="G336" s="3">
        <v>3.2736127050420269E-2</v>
      </c>
      <c r="H336" s="3">
        <v>-4.1322037303686892E-3</v>
      </c>
      <c r="I336" s="3">
        <v>4.8387501951109762E-3</v>
      </c>
      <c r="J336" s="3">
        <v>-1.8418948274412437E-3</v>
      </c>
      <c r="K336" s="3">
        <v>-4.0589235471297962E-3</v>
      </c>
      <c r="L336" s="3">
        <v>4.4571630390933519E-3</v>
      </c>
      <c r="M336" s="3">
        <v>0</v>
      </c>
      <c r="N336" s="3">
        <v>-4.317108870149489E-3</v>
      </c>
      <c r="O336" s="3">
        <v>4.6186178884015357E-3</v>
      </c>
      <c r="P336" s="3">
        <v>5.5781442990943814E-3</v>
      </c>
      <c r="Q336" s="3">
        <v>4.6728748155467816E-3</v>
      </c>
      <c r="R336" s="3">
        <v>1.5039491600773029E-2</v>
      </c>
      <c r="S336" s="3">
        <v>0</v>
      </c>
      <c r="T336" s="3">
        <v>2.5000029136629329E-2</v>
      </c>
      <c r="U336" s="3">
        <v>4.7764274682822791E-4</v>
      </c>
      <c r="V336" s="3">
        <v>-1.2300130871253884E-2</v>
      </c>
      <c r="W336" s="3">
        <v>-1.616392263230686E-2</v>
      </c>
      <c r="X336" s="3">
        <v>-6.164012107870126E-2</v>
      </c>
      <c r="Y336" s="3">
        <v>-2.7115358974358975E-2</v>
      </c>
      <c r="Z336" s="3">
        <v>-2.5380710659898501E-2</v>
      </c>
      <c r="AA336" s="3">
        <v>2.0053485436263966E-3</v>
      </c>
      <c r="AB336" s="3">
        <v>-9.562246170401521E-3</v>
      </c>
      <c r="AC336" s="3">
        <v>5.3090221957054307E-5</v>
      </c>
      <c r="AD336" s="3">
        <v>-2.2566121131602692E-3</v>
      </c>
      <c r="AE336" s="3">
        <v>-1.8772061423070203E-2</v>
      </c>
      <c r="AF336" s="3">
        <v>-3.0152160178053718E-2</v>
      </c>
      <c r="AG336" s="3">
        <v>-2.8282828282828396E-3</v>
      </c>
      <c r="AH336" s="3">
        <v>2.5349881546149703E-2</v>
      </c>
      <c r="AI336" s="3">
        <v>-1.6976152241050087E-2</v>
      </c>
      <c r="AJ336" s="3">
        <v>-4.7644187070906884E-3</v>
      </c>
      <c r="AK336" s="3">
        <v>-2.9411764705882287E-2</v>
      </c>
      <c r="AL336" s="3">
        <v>-4.1118043874634576E-4</v>
      </c>
      <c r="AM336" s="3">
        <v>-1.9565864736291263E-2</v>
      </c>
      <c r="AN336" s="3">
        <v>-2.0739795244671825E-3</v>
      </c>
    </row>
    <row r="337" spans="1:40" x14ac:dyDescent="0.3">
      <c r="A337" s="101">
        <v>44796</v>
      </c>
      <c r="B337" s="3">
        <v>-2.5033145811814883E-3</v>
      </c>
      <c r="C337" s="3">
        <v>-7.8084421956859055E-3</v>
      </c>
      <c r="D337" s="3">
        <v>1.0219802461575844E-3</v>
      </c>
      <c r="E337" s="3">
        <v>-2.0571094254590316E-2</v>
      </c>
      <c r="F337" s="3">
        <v>-3.4435516433804704E-3</v>
      </c>
      <c r="G337" s="3">
        <v>1.2064394464849476E-2</v>
      </c>
      <c r="H337" s="3">
        <v>-3.1506812465534506E-3</v>
      </c>
      <c r="I337" s="3">
        <v>-1.3643659711075578E-2</v>
      </c>
      <c r="J337" s="3">
        <v>-1.2793805651299272E-2</v>
      </c>
      <c r="K337" s="3">
        <v>1.0219802461575844E-3</v>
      </c>
      <c r="L337" s="3">
        <v>1.669556617533034E-3</v>
      </c>
      <c r="M337" s="3">
        <v>3.6141856787891705E-3</v>
      </c>
      <c r="N337" s="3">
        <v>-1.3627118951056724E-2</v>
      </c>
      <c r="O337" s="3">
        <v>-7.8084421956859055E-3</v>
      </c>
      <c r="P337" s="3">
        <v>1.0590065557236607E-2</v>
      </c>
      <c r="Q337" s="3">
        <v>1.627903979451702E-2</v>
      </c>
      <c r="R337" s="3">
        <v>-1.3506843079344313E-2</v>
      </c>
      <c r="S337" s="3">
        <v>0</v>
      </c>
      <c r="T337" s="3">
        <v>3.0487809933481798E-3</v>
      </c>
      <c r="U337" s="3">
        <v>-9.0706703480614402E-3</v>
      </c>
      <c r="V337" s="3">
        <v>-3.7360644968966695E-3</v>
      </c>
      <c r="W337" s="3">
        <v>1.7524674305397652E-2</v>
      </c>
      <c r="X337" s="3">
        <v>3.9589533113755633E-2</v>
      </c>
      <c r="Y337" s="3">
        <v>0</v>
      </c>
      <c r="Z337" s="3">
        <v>6.5104166666667598E-3</v>
      </c>
      <c r="AA337" s="3">
        <v>1.5231899894315585E-2</v>
      </c>
      <c r="AB337" s="3">
        <v>6.1438435513912724E-3</v>
      </c>
      <c r="AC337" s="3">
        <v>-6.9316814249373851E-3</v>
      </c>
      <c r="AD337" s="3">
        <v>6.7851477861647688E-3</v>
      </c>
      <c r="AE337" s="3">
        <v>6.2192225590596735E-3</v>
      </c>
      <c r="AF337" s="3">
        <v>3.7256008176592831E-2</v>
      </c>
      <c r="AG337" s="3">
        <v>8.1036871961102843E-3</v>
      </c>
      <c r="AH337" s="3">
        <v>-5.3379369699626929E-2</v>
      </c>
      <c r="AI337" s="3">
        <v>-2.5355236675567907E-2</v>
      </c>
      <c r="AJ337" s="3">
        <v>-5.3538849021305393E-3</v>
      </c>
      <c r="AK337" s="3">
        <v>1.2987012987012903E-2</v>
      </c>
      <c r="AL337" s="3">
        <v>1.2551691872654296E-2</v>
      </c>
      <c r="AM337" s="3">
        <v>8.8444767923623723E-3</v>
      </c>
      <c r="AN337" s="3">
        <v>7.4753913043477749E-3</v>
      </c>
    </row>
    <row r="338" spans="1:40" x14ac:dyDescent="0.3">
      <c r="A338" s="101">
        <v>44797</v>
      </c>
      <c r="B338" s="3">
        <v>-4.1067850873760031E-3</v>
      </c>
      <c r="C338" s="3">
        <v>6.9873160203134284E-3</v>
      </c>
      <c r="D338" s="3">
        <v>1.856214384925559E-3</v>
      </c>
      <c r="E338" s="3">
        <v>1.8360348154083412E-3</v>
      </c>
      <c r="F338" s="3">
        <v>-1.9350374994244902E-2</v>
      </c>
      <c r="G338" s="3">
        <v>2.9061128364886869E-2</v>
      </c>
      <c r="H338" s="3">
        <v>-2.5163681993125601E-3</v>
      </c>
      <c r="I338" s="3">
        <v>1.7087062652563129E-2</v>
      </c>
      <c r="J338" s="3">
        <v>3.8629682001882389E-3</v>
      </c>
      <c r="K338" s="3">
        <v>1.856214384925559E-3</v>
      </c>
      <c r="L338" s="3">
        <v>-2.0571094254590316E-2</v>
      </c>
      <c r="M338" s="3">
        <v>-1.1028606797209082E-2</v>
      </c>
      <c r="N338" s="3">
        <v>-3.6781377264809823E-3</v>
      </c>
      <c r="O338" s="3">
        <v>6.9873160203134284E-3</v>
      </c>
      <c r="P338" s="3">
        <v>-8.4830335088307476E-3</v>
      </c>
      <c r="Q338" s="3">
        <v>-1.7543854647523529E-2</v>
      </c>
      <c r="R338" s="3">
        <v>1.2364095052644991E-2</v>
      </c>
      <c r="S338" s="3">
        <v>0</v>
      </c>
      <c r="T338" s="3">
        <v>-1.4028799481877702E-3</v>
      </c>
      <c r="U338" s="3">
        <v>-2.2482804616156199E-3</v>
      </c>
      <c r="V338" s="3">
        <v>1.3749999612547338E-2</v>
      </c>
      <c r="W338" s="3">
        <v>2.8794469405003516E-2</v>
      </c>
      <c r="X338" s="3">
        <v>3.9491959393739675E-3</v>
      </c>
      <c r="Y338" s="3">
        <v>-1.0542307161038275E-2</v>
      </c>
      <c r="Z338" s="3">
        <v>7.7619663648123682E-3</v>
      </c>
      <c r="AA338" s="3">
        <v>1.5347618114548364E-3</v>
      </c>
      <c r="AB338" s="3">
        <v>-1.6105458156342625E-3</v>
      </c>
      <c r="AC338" s="3">
        <v>-2.2999972456675534E-3</v>
      </c>
      <c r="AD338" s="3">
        <v>1.2837181095914708E-3</v>
      </c>
      <c r="AE338" s="3">
        <v>1.3679242147047127E-2</v>
      </c>
      <c r="AF338" s="3">
        <v>1.4863283196519291E-3</v>
      </c>
      <c r="AG338" s="3">
        <v>-8.0377816735447089E-4</v>
      </c>
      <c r="AH338" s="3">
        <v>1.0769101848362987E-2</v>
      </c>
      <c r="AI338" s="3">
        <v>-1.9554675268187685E-3</v>
      </c>
      <c r="AJ338" s="3">
        <v>-1.9630341734252141E-3</v>
      </c>
      <c r="AK338" s="3">
        <v>-1.2820512820512739E-2</v>
      </c>
      <c r="AL338" s="3">
        <v>-5.7331586463297756E-3</v>
      </c>
      <c r="AM338" s="3">
        <v>6.2278124301114223E-3</v>
      </c>
      <c r="AN338" s="3">
        <v>3.5819078948409878E-3</v>
      </c>
    </row>
    <row r="339" spans="1:40" x14ac:dyDescent="0.3">
      <c r="A339" s="101">
        <v>44798</v>
      </c>
      <c r="B339" s="3">
        <v>2.2907755440536716E-4</v>
      </c>
      <c r="C339" s="3">
        <v>1.1832769575157285E-2</v>
      </c>
      <c r="D339" s="3">
        <v>2.8406966201135201E-4</v>
      </c>
      <c r="E339" s="3">
        <v>-4.0230355707859171E-3</v>
      </c>
      <c r="F339" s="3">
        <v>3.1712846879018769E-3</v>
      </c>
      <c r="G339" s="3">
        <v>8.4040012355540688E-3</v>
      </c>
      <c r="H339" s="3">
        <v>1.6671570069629416E-3</v>
      </c>
      <c r="I339" s="3">
        <v>4.0400000000000061E-2</v>
      </c>
      <c r="J339" s="3">
        <v>1.1171898627185555E-2</v>
      </c>
      <c r="K339" s="3">
        <v>2.8406966201135201E-4</v>
      </c>
      <c r="L339" s="3">
        <v>1.8360348154083412E-3</v>
      </c>
      <c r="M339" s="3">
        <v>2.0710036884616204E-2</v>
      </c>
      <c r="N339" s="3">
        <v>4.3219928044940003E-3</v>
      </c>
      <c r="O339" s="3">
        <v>1.1832769575157285E-2</v>
      </c>
      <c r="P339" s="3">
        <v>-3.5229993194262443E-3</v>
      </c>
      <c r="Q339" s="3">
        <v>-1.9409957934702071E-2</v>
      </c>
      <c r="R339" s="3">
        <v>-1.2295117378619443E-2</v>
      </c>
      <c r="S339" s="3">
        <v>0</v>
      </c>
      <c r="T339" s="3">
        <v>-5.6192612437844887E-3</v>
      </c>
      <c r="U339" s="3">
        <v>1.3037144142648907E-2</v>
      </c>
      <c r="V339" s="3">
        <v>-3.6991089821070385E-3</v>
      </c>
      <c r="W339" s="3">
        <v>-3.1650531737090176E-2</v>
      </c>
      <c r="X339" s="3">
        <v>-2.2478196122506511E-2</v>
      </c>
      <c r="Y339" s="3">
        <v>-5.3273157798137804E-3</v>
      </c>
      <c r="Z339" s="3">
        <v>8.985879332477572E-3</v>
      </c>
      <c r="AA339" s="3">
        <v>3.3025323718738546E-3</v>
      </c>
      <c r="AB339" s="3">
        <v>-1.8348118691811119E-2</v>
      </c>
      <c r="AC339" s="3">
        <v>-2.2355645324374826E-2</v>
      </c>
      <c r="AD339" s="3">
        <v>-7.0513308491736929E-3</v>
      </c>
      <c r="AE339" s="3">
        <v>3.126094934861501E-3</v>
      </c>
      <c r="AF339" s="3">
        <v>-1.088296055051193E-2</v>
      </c>
      <c r="AG339" s="3">
        <v>-8.0450921944854436E-3</v>
      </c>
      <c r="AH339" s="3">
        <v>-1.4261739627256699E-2</v>
      </c>
      <c r="AI339" s="3">
        <v>-1.4546971831228776E-2</v>
      </c>
      <c r="AJ339" s="3">
        <v>-7.4874066597485312E-3</v>
      </c>
      <c r="AK339" s="3">
        <v>-2.1645021645021759E-2</v>
      </c>
      <c r="AL339" s="3">
        <v>-2.0156080577249866E-2</v>
      </c>
      <c r="AM339" s="3">
        <v>4.8592941176470068E-3</v>
      </c>
      <c r="AN339" s="3">
        <v>-7.3733228096693063E-3</v>
      </c>
    </row>
    <row r="340" spans="1:40" x14ac:dyDescent="0.3">
      <c r="A340" s="101">
        <v>44799</v>
      </c>
      <c r="B340" s="3">
        <v>5.2679476584095745E-3</v>
      </c>
      <c r="C340" s="3">
        <v>-3.1040692867908681E-3</v>
      </c>
      <c r="D340" s="3">
        <v>-2.7845441492951369E-3</v>
      </c>
      <c r="E340" s="3">
        <v>6.1936244054897156E-3</v>
      </c>
      <c r="F340" s="3">
        <v>-3.5130457464362845E-4</v>
      </c>
      <c r="G340" s="3">
        <v>1.9445877703921602E-2</v>
      </c>
      <c r="H340" s="3">
        <v>8.1024692274901902E-5</v>
      </c>
      <c r="I340" s="3">
        <v>-1.1534025374856261E-3</v>
      </c>
      <c r="J340" s="3">
        <v>3.1916721795480513E-3</v>
      </c>
      <c r="K340" s="3">
        <v>-2.7845441492951369E-3</v>
      </c>
      <c r="L340" s="3">
        <v>-4.0230355707859171E-3</v>
      </c>
      <c r="M340" s="3">
        <v>-5.3734651225625457E-2</v>
      </c>
      <c r="N340" s="3">
        <v>1.4344471449331279E-3</v>
      </c>
      <c r="O340" s="3">
        <v>-3.1040692867908681E-3</v>
      </c>
      <c r="P340" s="3">
        <v>-4.0404042444647749E-3</v>
      </c>
      <c r="Q340" s="3">
        <v>-3.1670143554393564E-3</v>
      </c>
      <c r="R340" s="3">
        <v>-8.2989013468674229E-5</v>
      </c>
      <c r="S340" s="3">
        <v>0</v>
      </c>
      <c r="T340" s="3">
        <v>-1.1773365741820127E-3</v>
      </c>
      <c r="U340" s="3">
        <v>4.7672048440496035E-4</v>
      </c>
      <c r="V340" s="3">
        <v>-4.950457582891323E-3</v>
      </c>
      <c r="W340" s="3">
        <v>-1.5126999032771735E-2</v>
      </c>
      <c r="X340" s="3">
        <v>-4.5415405420655017E-2</v>
      </c>
      <c r="Y340" s="3">
        <v>-1.7205543857720454E-2</v>
      </c>
      <c r="Z340" s="3">
        <v>1.2722646310432298E-3</v>
      </c>
      <c r="AA340" s="3">
        <v>-3.8604844548379154E-2</v>
      </c>
      <c r="AB340" s="3">
        <v>-2.1361012116320518E-2</v>
      </c>
      <c r="AC340" s="3">
        <v>-2.4731270495911215E-2</v>
      </c>
      <c r="AD340" s="3">
        <v>-1.872172756875232E-2</v>
      </c>
      <c r="AE340" s="3">
        <v>-2.4961418852920306E-2</v>
      </c>
      <c r="AF340" s="3">
        <v>-2.8257114941513915E-2</v>
      </c>
      <c r="AG340" s="3">
        <v>-1.6626115166261158E-2</v>
      </c>
      <c r="AH340" s="3">
        <v>-1.9234100065424718E-2</v>
      </c>
      <c r="AI340" s="3">
        <v>-7.651990142459362E-3</v>
      </c>
      <c r="AJ340" s="3">
        <v>-1.3872840700464266E-2</v>
      </c>
      <c r="AK340" s="3">
        <v>-3.5398230088495415E-2</v>
      </c>
      <c r="AL340" s="3">
        <v>-1.7294234786399122E-2</v>
      </c>
      <c r="AM340" s="3">
        <v>-2.3619213653789991E-2</v>
      </c>
      <c r="AN340" s="3">
        <v>-3.0841744071414965E-2</v>
      </c>
    </row>
    <row r="341" spans="1:40" x14ac:dyDescent="0.3">
      <c r="A341" s="101">
        <v>44802</v>
      </c>
      <c r="B341" s="3">
        <v>-2.7340833660874481E-3</v>
      </c>
      <c r="C341" s="3">
        <v>-5.7929039870490626E-3</v>
      </c>
      <c r="D341" s="3">
        <v>-3.6525851337342307E-4</v>
      </c>
      <c r="E341" s="3">
        <v>3.3899769237834862E-3</v>
      </c>
      <c r="F341" s="3">
        <v>-0.12789880802308595</v>
      </c>
      <c r="G341" s="3">
        <v>4.7871078567322247E-3</v>
      </c>
      <c r="H341" s="3">
        <v>-7.696722141578631E-4</v>
      </c>
      <c r="I341" s="3">
        <v>-3.3102347959969282E-2</v>
      </c>
      <c r="J341" s="3">
        <v>-5.7512750364876047E-3</v>
      </c>
      <c r="K341" s="3">
        <v>-3.6525851337342307E-4</v>
      </c>
      <c r="L341" s="3">
        <v>6.1936244054897156E-3</v>
      </c>
      <c r="M341" s="3">
        <v>-4.0056315741194325E-3</v>
      </c>
      <c r="N341" s="3">
        <v>2.2380988926358164E-3</v>
      </c>
      <c r="O341" s="3">
        <v>-5.7929039870490626E-3</v>
      </c>
      <c r="P341" s="3">
        <v>-1.0141937633972588E-2</v>
      </c>
      <c r="Q341" s="3">
        <v>-4.0508391533185091E-2</v>
      </c>
      <c r="R341" s="3">
        <v>7.9674568247920276E-3</v>
      </c>
      <c r="S341" s="3">
        <v>0</v>
      </c>
      <c r="T341" s="3">
        <v>6.8364010969615583E-3</v>
      </c>
      <c r="U341" s="3">
        <v>-7.9402921786890669E-3</v>
      </c>
      <c r="V341" s="3">
        <v>-8.706504223643316E-3</v>
      </c>
      <c r="W341" s="3">
        <v>1.0971189076462386E-3</v>
      </c>
      <c r="X341" s="3">
        <v>4.9081633516459902E-2</v>
      </c>
      <c r="Y341" s="3">
        <v>-8.4469003723385248E-3</v>
      </c>
      <c r="Z341" s="3">
        <v>-2.2871664548919913E-2</v>
      </c>
      <c r="AA341" s="3">
        <v>1.2613533886410844E-2</v>
      </c>
      <c r="AB341" s="3">
        <v>3.4280964954653049E-3</v>
      </c>
      <c r="AC341" s="3">
        <v>5.0042140566471929E-3</v>
      </c>
      <c r="AD341" s="3">
        <v>4.9341544730537052E-3</v>
      </c>
      <c r="AE341" s="3">
        <v>9.4616939507706655E-3</v>
      </c>
      <c r="AF341" s="3">
        <v>-5.1465885960815597E-3</v>
      </c>
      <c r="AG341" s="3">
        <v>1.3195876288659805E-2</v>
      </c>
      <c r="AH341" s="3">
        <v>6.5949446540229115E-3</v>
      </c>
      <c r="AI341" s="3">
        <v>5.7679881267563909E-3</v>
      </c>
      <c r="AJ341" s="3">
        <v>4.991895278307304E-3</v>
      </c>
      <c r="AK341" s="3">
        <v>9.174311926605512E-3</v>
      </c>
      <c r="AL341" s="3">
        <v>4.5282376188270313E-3</v>
      </c>
      <c r="AM341" s="3">
        <v>-3.9795944386931169E-3</v>
      </c>
      <c r="AN341" s="3">
        <v>-3.6057489941428477E-3</v>
      </c>
    </row>
    <row r="342" spans="1:40" x14ac:dyDescent="0.3">
      <c r="A342" s="101">
        <v>44803</v>
      </c>
      <c r="B342" s="3">
        <v>-8.9102243982839124E-3</v>
      </c>
      <c r="C342" s="3">
        <v>2.7093977393581888E-2</v>
      </c>
      <c r="D342" s="3">
        <v>5.2646545442415404E-3</v>
      </c>
      <c r="E342" s="3">
        <v>5.868017640945326E-3</v>
      </c>
      <c r="F342" s="3">
        <v>5.8420669186132305E-2</v>
      </c>
      <c r="G342" s="3">
        <v>1.0005171700057047E-2</v>
      </c>
      <c r="H342" s="3">
        <v>1.5506651982080768E-3</v>
      </c>
      <c r="I342" s="3">
        <v>-9.9522289031756007E-3</v>
      </c>
      <c r="J342" s="3">
        <v>1.2307000431099981E-3</v>
      </c>
      <c r="K342" s="3">
        <v>5.2646545442415404E-3</v>
      </c>
      <c r="L342" s="3">
        <v>3.3899769237834862E-3</v>
      </c>
      <c r="M342" s="3">
        <v>2.3893991010172543E-2</v>
      </c>
      <c r="N342" s="3">
        <v>9.0218908991820373E-3</v>
      </c>
      <c r="O342" s="3">
        <v>2.7093977393581888E-2</v>
      </c>
      <c r="P342" s="3">
        <v>8.7090676229507787E-3</v>
      </c>
      <c r="Q342" s="3">
        <v>7.4503468490019409E-3</v>
      </c>
      <c r="R342" s="3">
        <v>2.5936610979068395E-2</v>
      </c>
      <c r="S342" s="3">
        <v>1.4296717775468074E-2</v>
      </c>
      <c r="T342" s="3">
        <v>2.7862389091567703E-2</v>
      </c>
      <c r="U342" s="3">
        <v>7.0433603309064032E-3</v>
      </c>
      <c r="V342" s="3">
        <v>-6.2734782303409597E-3</v>
      </c>
      <c r="W342" s="3">
        <v>5.5890445997982915E-2</v>
      </c>
      <c r="X342" s="3">
        <v>-3.8461538461538554E-2</v>
      </c>
      <c r="Y342" s="3">
        <v>-1.1129403835248847E-2</v>
      </c>
      <c r="Z342" s="3">
        <v>-3.511053315994804E-2</v>
      </c>
      <c r="AA342" s="3">
        <v>1.698717796433406E-2</v>
      </c>
      <c r="AB342" s="3">
        <v>1.6872346772347068E-2</v>
      </c>
      <c r="AC342" s="3">
        <v>-3.9918371827508944E-2</v>
      </c>
      <c r="AD342" s="3">
        <v>-9.8191064221192482E-4</v>
      </c>
      <c r="AE342" s="3">
        <v>1.8087739811912255E-2</v>
      </c>
      <c r="AF342" s="3">
        <v>1.3967870046380724E-2</v>
      </c>
      <c r="AG342" s="3">
        <v>-9.3610093610093786E-3</v>
      </c>
      <c r="AH342" s="3">
        <v>3.8793157195543645E-2</v>
      </c>
      <c r="AI342" s="3">
        <v>6.0973334583442349E-3</v>
      </c>
      <c r="AJ342" s="3">
        <v>1.561084277889647E-2</v>
      </c>
      <c r="AK342" s="3">
        <v>3.6363636363636188E-2</v>
      </c>
      <c r="AL342" s="3">
        <v>9.2519826848505606E-3</v>
      </c>
      <c r="AM342" s="3">
        <v>3.055101465913191E-2</v>
      </c>
      <c r="AN342" s="3">
        <v>1.0892347342995238E-2</v>
      </c>
    </row>
    <row r="343" spans="1:40" x14ac:dyDescent="0.3">
      <c r="A343" s="101">
        <v>44804</v>
      </c>
      <c r="B343" s="3">
        <v>9.9123903083874962E-3</v>
      </c>
      <c r="C343" s="3">
        <v>-1.2055148222112679E-2</v>
      </c>
      <c r="D343" s="3">
        <v>-4.5531906763925578E-3</v>
      </c>
      <c r="E343" s="3">
        <v>-2.169975063298784E-2</v>
      </c>
      <c r="F343" s="3">
        <v>-1.3703856788426973E-2</v>
      </c>
      <c r="G343" s="3">
        <v>-2.5254875362021496E-2</v>
      </c>
      <c r="H343" s="3">
        <v>-1.3256381109150914E-3</v>
      </c>
      <c r="I343" s="3">
        <v>-1.6084036345635924E-3</v>
      </c>
      <c r="J343" s="3">
        <v>4.7939948660049659E-3</v>
      </c>
      <c r="K343" s="3">
        <v>-4.5531906763925578E-3</v>
      </c>
      <c r="L343" s="3">
        <v>5.868017640945326E-3</v>
      </c>
      <c r="M343" s="3">
        <v>1.3170032651803039E-2</v>
      </c>
      <c r="N343" s="3">
        <v>-1.5315060919776548E-2</v>
      </c>
      <c r="O343" s="3">
        <v>-1.2055148222112679E-2</v>
      </c>
      <c r="P343" s="3">
        <v>4.5708479141265594E-3</v>
      </c>
      <c r="Q343" s="3">
        <v>-3.2867206985526388E-3</v>
      </c>
      <c r="R343" s="3">
        <v>-1.2841084431904706E-2</v>
      </c>
      <c r="S343" s="3">
        <v>0</v>
      </c>
      <c r="T343" s="3">
        <v>-1.5261992881424158E-2</v>
      </c>
      <c r="U343" s="3">
        <v>-3.0519772147197241E-2</v>
      </c>
      <c r="V343" s="3">
        <v>-2.0202075006660228E-2</v>
      </c>
      <c r="W343" s="3">
        <v>3.113660856532789E-3</v>
      </c>
      <c r="X343" s="3">
        <v>2.8955253731343385E-2</v>
      </c>
      <c r="Y343" s="3">
        <v>-4.1684451275746069E-3</v>
      </c>
      <c r="Z343" s="3">
        <v>2.1563342318059318E-2</v>
      </c>
      <c r="AA343" s="3">
        <v>2.2608160195483383E-3</v>
      </c>
      <c r="AB343" s="3">
        <v>6.7191759486453324E-3</v>
      </c>
      <c r="AC343" s="3">
        <v>8.0125872559461703E-3</v>
      </c>
      <c r="AD343" s="3">
        <v>9.1742574646562266E-3</v>
      </c>
      <c r="AE343" s="3">
        <v>3.0021246821546679E-2</v>
      </c>
      <c r="AF343" s="3">
        <v>2.1938813976055023E-2</v>
      </c>
      <c r="AG343" s="3">
        <v>4.108504519309733E-3</v>
      </c>
      <c r="AH343" s="3">
        <v>-2.4066336332552646E-2</v>
      </c>
      <c r="AI343" s="3">
        <v>2.0640746954933852E-2</v>
      </c>
      <c r="AJ343" s="3">
        <v>1.359243111080651E-2</v>
      </c>
      <c r="AK343" s="3">
        <v>0</v>
      </c>
      <c r="AL343" s="3">
        <v>6.3006272657621012E-3</v>
      </c>
      <c r="AM343" s="3">
        <v>4.4188366950780574E-3</v>
      </c>
      <c r="AN343" s="3">
        <v>1.0635943129410068E-2</v>
      </c>
    </row>
    <row r="344" spans="1:40" x14ac:dyDescent="0.3">
      <c r="A344" s="101">
        <v>44805</v>
      </c>
      <c r="B344" s="3">
        <v>-3.8803961134500869E-3</v>
      </c>
      <c r="C344" s="3">
        <v>5.6703606888210117E-3</v>
      </c>
      <c r="D344" s="3">
        <v>-5.5708117849141947E-5</v>
      </c>
      <c r="E344" s="3">
        <v>-6.1438581618008612E-3</v>
      </c>
      <c r="F344" s="3">
        <v>-9.2628411487280116E-3</v>
      </c>
      <c r="G344" s="3">
        <v>-2.9781408819166198E-3</v>
      </c>
      <c r="H344" s="3">
        <v>1.2868665306619057E-3</v>
      </c>
      <c r="I344" s="3">
        <v>-2.738622633910591E-2</v>
      </c>
      <c r="J344" s="3">
        <v>-4.8932907184929143E-4</v>
      </c>
      <c r="K344" s="3">
        <v>-5.5708117849141947E-5</v>
      </c>
      <c r="L344" s="3">
        <v>-2.169975063298784E-2</v>
      </c>
      <c r="M344" s="3">
        <v>-3.6487800980059136E-3</v>
      </c>
      <c r="N344" s="3">
        <v>-3.5961750000274564E-3</v>
      </c>
      <c r="O344" s="3">
        <v>5.6703606888210117E-3</v>
      </c>
      <c r="P344" s="3">
        <v>-5.0556620295418037E-3</v>
      </c>
      <c r="Q344" s="3">
        <v>2.8029611128243141E-2</v>
      </c>
      <c r="R344" s="3">
        <v>2.4390265957644822E-2</v>
      </c>
      <c r="S344" s="3">
        <v>-1.6863000567896224E-3</v>
      </c>
      <c r="T344" s="3">
        <v>-1.1566105142166487E-2</v>
      </c>
      <c r="U344" s="3">
        <v>4.4269483959143201E-2</v>
      </c>
      <c r="V344" s="3">
        <v>-3.6082414393871845E-2</v>
      </c>
      <c r="W344" s="3">
        <v>-2.6901278803228703E-2</v>
      </c>
      <c r="X344" s="3">
        <v>0</v>
      </c>
      <c r="Y344" s="3">
        <v>5.5114345056909144E-3</v>
      </c>
      <c r="Z344" s="3">
        <v>0</v>
      </c>
      <c r="AA344" s="3">
        <v>2.753306091440607E-2</v>
      </c>
      <c r="AB344" s="3">
        <v>6.1309946956149221E-4</v>
      </c>
      <c r="AC344" s="3">
        <v>2.023355353827605E-2</v>
      </c>
      <c r="AD344" s="3">
        <v>4.8701422732797478E-3</v>
      </c>
      <c r="AE344" s="3">
        <v>-3.7755513617453829E-2</v>
      </c>
      <c r="AF344" s="3">
        <v>-1.7474019582318502E-3</v>
      </c>
      <c r="AG344" s="3">
        <v>5.3191078020005623E-3</v>
      </c>
      <c r="AH344" s="3">
        <v>-1.4455861961776782E-2</v>
      </c>
      <c r="AI344" s="3">
        <v>-3.0922976795919103E-2</v>
      </c>
      <c r="AJ344" s="3">
        <v>-6.2601853406842378E-2</v>
      </c>
      <c r="AK344" s="3">
        <v>-8.7719298245614117E-3</v>
      </c>
      <c r="AL344" s="3">
        <v>5.6864405065941669E-3</v>
      </c>
      <c r="AM344" s="3">
        <v>-1.4664649316241916E-3</v>
      </c>
      <c r="AN344" s="3">
        <v>2.7868734873500215E-3</v>
      </c>
    </row>
    <row r="345" spans="1:40" x14ac:dyDescent="0.3">
      <c r="A345" s="101">
        <v>44806</v>
      </c>
      <c r="B345" s="3">
        <v>3.5517847141424065E-2</v>
      </c>
      <c r="C345" s="3">
        <v>-1.2132537363035093E-3</v>
      </c>
      <c r="D345" s="3">
        <v>-3.311576625358735E-3</v>
      </c>
      <c r="E345" s="3">
        <v>1.8179055212288889E-4</v>
      </c>
      <c r="F345" s="3">
        <v>-2.7658707005587115E-2</v>
      </c>
      <c r="G345" s="3">
        <v>-1.6092290666466735E-2</v>
      </c>
      <c r="H345" s="3">
        <v>-2.243218901058882E-3</v>
      </c>
      <c r="I345" s="3">
        <v>-4.5548240165630815E-3</v>
      </c>
      <c r="J345" s="3">
        <v>3.3048402054863938E-3</v>
      </c>
      <c r="K345" s="3">
        <v>-3.311576625358735E-3</v>
      </c>
      <c r="L345" s="3">
        <v>-6.1438581618008612E-3</v>
      </c>
      <c r="M345" s="3">
        <v>-3.6392790945131419E-2</v>
      </c>
      <c r="N345" s="3">
        <v>-1.0105633718572997E-2</v>
      </c>
      <c r="O345" s="3">
        <v>-1.2132537363035093E-3</v>
      </c>
      <c r="P345" s="3">
        <v>3.0487804878048131E-3</v>
      </c>
      <c r="Q345" s="3">
        <v>-1.7642324096817024E-2</v>
      </c>
      <c r="R345" s="3">
        <v>1.7539696697119547E-2</v>
      </c>
      <c r="S345" s="3">
        <v>2.8105150558330341E-6</v>
      </c>
      <c r="T345" s="3">
        <v>-2.8551339288088524E-2</v>
      </c>
      <c r="U345" s="3">
        <v>1.2403899730338211E-2</v>
      </c>
      <c r="V345" s="3">
        <v>2.272720995580629E-2</v>
      </c>
      <c r="W345" s="3">
        <v>-1.4885614008036261E-2</v>
      </c>
      <c r="X345" s="3">
        <v>5.2219609741234758E-3</v>
      </c>
      <c r="Y345" s="3">
        <v>1.0129681186093083E-2</v>
      </c>
      <c r="Z345" s="3">
        <v>7.9155672823218483E-3</v>
      </c>
      <c r="AA345" s="3">
        <v>2.1914062257117308E-2</v>
      </c>
      <c r="AB345" s="3">
        <v>-1.055031573820414E-2</v>
      </c>
      <c r="AC345" s="3">
        <v>1.7565616948353069E-3</v>
      </c>
      <c r="AD345" s="3">
        <v>1.6801332746061735E-2</v>
      </c>
      <c r="AE345" s="3">
        <v>-2.0194009435180143E-3</v>
      </c>
      <c r="AF345" s="3">
        <v>1.1252711460756794E-2</v>
      </c>
      <c r="AG345" s="3">
        <v>2.4419617419617927E-3</v>
      </c>
      <c r="AH345" s="3">
        <v>0</v>
      </c>
      <c r="AI345" s="3">
        <v>-1.3164296864467471E-2</v>
      </c>
      <c r="AJ345" s="3">
        <v>-1.0361607730127918E-2</v>
      </c>
      <c r="AK345" s="3">
        <v>1.3274336283185952E-2</v>
      </c>
      <c r="AL345" s="3">
        <v>-7.9363753952136316E-3</v>
      </c>
      <c r="AM345" s="3">
        <v>4.2201926715459579E-4</v>
      </c>
      <c r="AN345" s="3">
        <v>-5.7568368845790493E-3</v>
      </c>
    </row>
    <row r="346" spans="1:40" x14ac:dyDescent="0.3">
      <c r="A346" s="101">
        <v>44809</v>
      </c>
      <c r="B346" s="3">
        <v>-1.8366879563909946E-2</v>
      </c>
      <c r="C346" s="3">
        <v>-1.6436953301756786E-3</v>
      </c>
      <c r="D346" s="3">
        <v>7.3906997507566905E-4</v>
      </c>
      <c r="E346" s="3">
        <v>1.1362066023042573E-3</v>
      </c>
      <c r="F346" s="3">
        <v>1.1217906111734984E-2</v>
      </c>
      <c r="G346" s="3">
        <v>-1.7000531978619702E-2</v>
      </c>
      <c r="H346" s="3">
        <v>1.1799150731614189E-3</v>
      </c>
      <c r="I346" s="3">
        <v>0</v>
      </c>
      <c r="J346" s="3">
        <v>8.4178815941532564E-3</v>
      </c>
      <c r="K346" s="3">
        <v>7.3906997507566905E-4</v>
      </c>
      <c r="L346" s="3">
        <v>1.8179055212288889E-4</v>
      </c>
      <c r="M346" s="3">
        <v>-2.5415654414045408E-2</v>
      </c>
      <c r="N346" s="3">
        <v>1.0026309867335328E-3</v>
      </c>
      <c r="O346" s="3">
        <v>-1.6436953301756786E-3</v>
      </c>
      <c r="P346" s="3">
        <v>-3.0395136778114855E-3</v>
      </c>
      <c r="Q346" s="3">
        <v>-1.7959165515347156E-2</v>
      </c>
      <c r="R346" s="3">
        <v>-7.0204818188213266E-4</v>
      </c>
      <c r="S346" s="3">
        <v>9.8231779221125779E-3</v>
      </c>
      <c r="T346" s="3">
        <v>3.2040480464249434E-2</v>
      </c>
      <c r="U346" s="3">
        <v>-1.7834988446771938E-2</v>
      </c>
      <c r="V346" s="3">
        <v>-3.3986887154653561E-2</v>
      </c>
      <c r="W346" s="3">
        <v>8.472740892925347E-2</v>
      </c>
      <c r="X346" s="3">
        <v>-5.7720342988724881E-3</v>
      </c>
      <c r="Y346" s="3">
        <v>-3.7777526966894328E-3</v>
      </c>
      <c r="Z346" s="3">
        <v>1.5706806282722526E-2</v>
      </c>
      <c r="AA346" s="3">
        <v>-1.7438355739278787E-2</v>
      </c>
      <c r="AB346" s="3">
        <v>-2.3801137282549657E-2</v>
      </c>
      <c r="AC346" s="3">
        <v>-3.6568792000097064E-2</v>
      </c>
      <c r="AD346" s="3">
        <v>3.8610617314267827E-3</v>
      </c>
      <c r="AE346" s="3">
        <v>-3.3214989827387312E-2</v>
      </c>
      <c r="AF346" s="3">
        <v>-5.1928424094039756E-3</v>
      </c>
      <c r="AG346" s="3">
        <v>5.6841658824264684E-3</v>
      </c>
      <c r="AH346" s="3">
        <v>-7.7652556649509697E-3</v>
      </c>
      <c r="AI346" s="3">
        <v>-3.9158978907831224E-2</v>
      </c>
      <c r="AJ346" s="3">
        <v>-1.8508423690176561E-2</v>
      </c>
      <c r="AK346" s="3">
        <v>0.10043668122270741</v>
      </c>
      <c r="AL346" s="3">
        <v>-3.7575711386986642E-2</v>
      </c>
      <c r="AM346" s="3">
        <v>-1.4832003876754728E-2</v>
      </c>
      <c r="AN346" s="3">
        <v>-2.6378467230308816E-2</v>
      </c>
    </row>
    <row r="347" spans="1:40" x14ac:dyDescent="0.3">
      <c r="A347" s="101">
        <v>44810</v>
      </c>
      <c r="B347" s="3">
        <v>1.7358021561774132E-2</v>
      </c>
      <c r="C347" s="3">
        <v>-8.5877884115788145E-4</v>
      </c>
      <c r="D347" s="3">
        <v>3.9779110802548477E-3</v>
      </c>
      <c r="E347" s="3">
        <v>7.9440467152676383E-3</v>
      </c>
      <c r="F347" s="3">
        <v>-6.7353364847452857E-2</v>
      </c>
      <c r="G347" s="3">
        <v>-1.115663565314347E-2</v>
      </c>
      <c r="H347" s="3">
        <v>-3.0932047424635598E-3</v>
      </c>
      <c r="I347" s="3">
        <v>-7.0715471268075949E-3</v>
      </c>
      <c r="J347" s="3">
        <v>-3.8714479521379506E-3</v>
      </c>
      <c r="K347" s="3">
        <v>3.9779110802548477E-3</v>
      </c>
      <c r="L347" s="3">
        <v>1.1362066023042573E-3</v>
      </c>
      <c r="M347" s="3">
        <v>-2.2178894033119442E-2</v>
      </c>
      <c r="N347" s="3">
        <v>1.684570692303752E-2</v>
      </c>
      <c r="O347" s="3">
        <v>-8.5877884115788145E-4</v>
      </c>
      <c r="P347" s="3">
        <v>1.575203252032514E-2</v>
      </c>
      <c r="Q347" s="3">
        <v>-2.24438338187933E-2</v>
      </c>
      <c r="R347" s="3">
        <v>1.4673791104475097E-2</v>
      </c>
      <c r="S347" s="3">
        <v>-1.1141234017779883E-3</v>
      </c>
      <c r="T347" s="3">
        <v>-6.7693775315108978E-3</v>
      </c>
      <c r="U347" s="3">
        <v>2.6527727718290858E-2</v>
      </c>
      <c r="V347" s="3">
        <v>8.1190181003895547E-3</v>
      </c>
      <c r="W347" s="3">
        <v>-3.5820925434718522E-2</v>
      </c>
      <c r="X347" s="3">
        <v>-2.2061015324789109E-2</v>
      </c>
      <c r="Y347" s="3">
        <v>-3.3163246222716034E-2</v>
      </c>
      <c r="Z347" s="3">
        <v>-4.5103092783505112E-2</v>
      </c>
      <c r="AA347" s="3">
        <v>4.8227787758657785E-3</v>
      </c>
      <c r="AB347" s="3">
        <v>6.4830878206075873E-3</v>
      </c>
      <c r="AC347" s="3">
        <v>-3.0530134105917458E-3</v>
      </c>
      <c r="AD347" s="3">
        <v>1.2820407602679525E-2</v>
      </c>
      <c r="AE347" s="3">
        <v>-2.4632108148163814E-2</v>
      </c>
      <c r="AF347" s="3">
        <v>-2.7343254822078441E-3</v>
      </c>
      <c r="AG347" s="3">
        <v>4.4408155026242208E-3</v>
      </c>
      <c r="AH347" s="3">
        <v>-3.043491989748142E-2</v>
      </c>
      <c r="AI347" s="3">
        <v>5.1183595160654476E-3</v>
      </c>
      <c r="AJ347" s="3">
        <v>4.9552593569634025E-3</v>
      </c>
      <c r="AK347" s="3">
        <v>-6.7460317460317429E-2</v>
      </c>
      <c r="AL347" s="3">
        <v>-1.2211492735791704E-2</v>
      </c>
      <c r="AM347" s="3">
        <v>2.6051250535634143E-2</v>
      </c>
      <c r="AN347" s="3">
        <v>-4.4753494137358867E-3</v>
      </c>
    </row>
    <row r="348" spans="1:40" x14ac:dyDescent="0.3">
      <c r="A348" s="101">
        <v>44811</v>
      </c>
      <c r="B348" s="3">
        <v>-1.1300741624823652E-2</v>
      </c>
      <c r="C348" s="3">
        <v>5.0862278665703862E-3</v>
      </c>
      <c r="D348" s="3">
        <v>3.1647779797869752E-3</v>
      </c>
      <c r="E348" s="3">
        <v>-2.0131455999529906E-2</v>
      </c>
      <c r="F348" s="3">
        <v>3.9507214111412885E-2</v>
      </c>
      <c r="G348" s="3">
        <v>2.6078442929809417E-2</v>
      </c>
      <c r="H348" s="3">
        <v>3.1739364602985788E-3</v>
      </c>
      <c r="I348" s="3">
        <v>-1.7595307180757896E-2</v>
      </c>
      <c r="J348" s="3">
        <v>1.0931175379457697E-3</v>
      </c>
      <c r="K348" s="3">
        <v>3.1647779797869752E-3</v>
      </c>
      <c r="L348" s="3">
        <v>7.9440467152676383E-3</v>
      </c>
      <c r="M348" s="3">
        <v>4.1126646089896544E-2</v>
      </c>
      <c r="N348" s="3">
        <v>1.2536973892195458E-2</v>
      </c>
      <c r="O348" s="3">
        <v>5.0862278665703862E-3</v>
      </c>
      <c r="P348" s="3">
        <v>-1.0005502751374213E-3</v>
      </c>
      <c r="Q348" s="3">
        <v>-1.7007069229497661E-3</v>
      </c>
      <c r="R348" s="3">
        <v>1.6692285405330451E-2</v>
      </c>
      <c r="S348" s="3">
        <v>0</v>
      </c>
      <c r="T348" s="3">
        <v>-1.4100384702478701E-3</v>
      </c>
      <c r="U348" s="3">
        <v>3.1225941796702041E-2</v>
      </c>
      <c r="V348" s="3">
        <v>-3.4899287467641607E-2</v>
      </c>
      <c r="W348" s="3">
        <v>2.3735827274162267E-2</v>
      </c>
      <c r="X348" s="3">
        <v>-2.9682102394837364E-3</v>
      </c>
      <c r="Y348" s="3">
        <v>8.8426516107152735E-3</v>
      </c>
      <c r="Z348" s="3">
        <v>1.8893387314439902E-2</v>
      </c>
      <c r="AA348" s="3">
        <v>-7.4618100255585702E-3</v>
      </c>
      <c r="AB348" s="3">
        <v>-9.3119426853696674E-3</v>
      </c>
      <c r="AC348" s="3">
        <v>-6.477135823906631E-4</v>
      </c>
      <c r="AD348" s="3">
        <v>-2.9430350355517994E-2</v>
      </c>
      <c r="AE348" s="3">
        <v>3.443150849197945E-2</v>
      </c>
      <c r="AF348" s="3">
        <v>-1.520443805762467E-2</v>
      </c>
      <c r="AG348" s="3">
        <v>-2.0096463830243723E-2</v>
      </c>
      <c r="AH348" s="3">
        <v>4.0358802567779427E-2</v>
      </c>
      <c r="AI348" s="3">
        <v>6.4926488189712295E-3</v>
      </c>
      <c r="AJ348" s="3">
        <v>-5.4102393047833694E-3</v>
      </c>
      <c r="AK348" s="3">
        <v>1.7021276595744695E-2</v>
      </c>
      <c r="AL348" s="3">
        <v>-9.3330635167167605E-3</v>
      </c>
      <c r="AM348" s="3">
        <v>1.8829548021331938E-2</v>
      </c>
      <c r="AN348" s="3">
        <v>-4.8710801182628898E-3</v>
      </c>
    </row>
    <row r="349" spans="1:40" x14ac:dyDescent="0.3">
      <c r="A349" s="101">
        <v>44812</v>
      </c>
      <c r="B349" s="3">
        <v>-8.5163216523428658E-3</v>
      </c>
      <c r="C349" s="3">
        <v>-1.7817659166106279E-3</v>
      </c>
      <c r="D349" s="3">
        <v>-5.5640696059092538E-3</v>
      </c>
      <c r="E349" s="3">
        <v>-3.5851056840550269E-3</v>
      </c>
      <c r="F349" s="3">
        <v>3.9640317004055105E-2</v>
      </c>
      <c r="G349" s="3">
        <v>-6.9245409200586932E-3</v>
      </c>
      <c r="H349" s="3">
        <v>7.6986972993789784E-4</v>
      </c>
      <c r="I349" s="3">
        <v>2.4306992566865956E-2</v>
      </c>
      <c r="J349" s="3">
        <v>6.0658112654872545E-3</v>
      </c>
      <c r="K349" s="3">
        <v>-5.5640696059092538E-3</v>
      </c>
      <c r="L349" s="3">
        <v>-2.0131455999529906E-2</v>
      </c>
      <c r="M349" s="3">
        <v>1.10126885324394E-2</v>
      </c>
      <c r="N349" s="3">
        <v>-9.7283260229665616E-3</v>
      </c>
      <c r="O349" s="3">
        <v>-1.7817659166106279E-3</v>
      </c>
      <c r="P349" s="3">
        <v>-2.0029545319457287E-3</v>
      </c>
      <c r="Q349" s="3">
        <v>1.0221415305665374E-2</v>
      </c>
      <c r="R349" s="3">
        <v>-7.5661467728038029E-5</v>
      </c>
      <c r="S349" s="3">
        <v>0</v>
      </c>
      <c r="T349" s="3">
        <v>4.0008413365137984E-3</v>
      </c>
      <c r="U349" s="3">
        <v>-1.6408082031887553E-2</v>
      </c>
      <c r="V349" s="3">
        <v>1.2517405238690847E-2</v>
      </c>
      <c r="W349" s="3">
        <v>-1.0080647087656472E-2</v>
      </c>
      <c r="X349" s="3">
        <v>4.197677880321514E-2</v>
      </c>
      <c r="Y349" s="3">
        <v>-7.2100374128081061E-3</v>
      </c>
      <c r="Z349" s="3">
        <v>3.9735099337748674E-3</v>
      </c>
      <c r="AA349" s="3">
        <v>-3.3528909353332964E-4</v>
      </c>
      <c r="AB349" s="3">
        <v>8.127204063306314E-3</v>
      </c>
      <c r="AC349" s="3">
        <v>1.0666180028896893E-2</v>
      </c>
      <c r="AD349" s="3">
        <v>3.2603964365779837E-4</v>
      </c>
      <c r="AE349" s="3">
        <v>3.5423168302093303E-3</v>
      </c>
      <c r="AF349" s="3">
        <v>9.8711428006193723E-3</v>
      </c>
      <c r="AG349" s="3">
        <v>-1.6406481394852259E-3</v>
      </c>
      <c r="AH349" s="3">
        <v>0</v>
      </c>
      <c r="AI349" s="3">
        <v>3.0989536614036365E-3</v>
      </c>
      <c r="AJ349" s="3">
        <v>1.2600551479823148E-2</v>
      </c>
      <c r="AK349" s="3">
        <v>-2.9288702928870411E-2</v>
      </c>
      <c r="AL349" s="3">
        <v>2.3989636687898122E-2</v>
      </c>
      <c r="AM349" s="3">
        <v>4.6039860990471576E-3</v>
      </c>
      <c r="AN349" s="3">
        <v>-5.4188077187428585E-4</v>
      </c>
    </row>
    <row r="350" spans="1:40" x14ac:dyDescent="0.3">
      <c r="A350" s="101">
        <v>44813</v>
      </c>
      <c r="B350" s="3">
        <v>-1.4014538221027379E-2</v>
      </c>
      <c r="C350" s="3">
        <v>3.7843135603092422E-3</v>
      </c>
      <c r="D350" s="3">
        <v>2.3731416072485024E-3</v>
      </c>
      <c r="E350" s="3">
        <v>1.8820051057443676E-2</v>
      </c>
      <c r="F350" s="3">
        <v>3.9308468722580609E-3</v>
      </c>
      <c r="G350" s="3">
        <v>1.0880793422443779E-2</v>
      </c>
      <c r="H350" s="3">
        <v>-1.4845705879574197E-3</v>
      </c>
      <c r="I350" s="3">
        <v>-1.6652789342214466E-3</v>
      </c>
      <c r="J350" s="3">
        <v>-3.4969765134413178E-3</v>
      </c>
      <c r="K350" s="3">
        <v>2.3731416072485024E-3</v>
      </c>
      <c r="L350" s="3">
        <v>-3.5851056840550269E-3</v>
      </c>
      <c r="M350" s="3">
        <v>-3.5046175704475421E-2</v>
      </c>
      <c r="N350" s="3">
        <v>1.2681918043689549E-2</v>
      </c>
      <c r="O350" s="3">
        <v>3.7843135603092422E-3</v>
      </c>
      <c r="P350" s="3">
        <v>-1.4049172102358311E-2</v>
      </c>
      <c r="Q350" s="3">
        <v>3.5413193857323735E-2</v>
      </c>
      <c r="R350" s="3">
        <v>7.5667192818905569E-5</v>
      </c>
      <c r="S350" s="3">
        <v>0</v>
      </c>
      <c r="T350" s="3">
        <v>-3.7504939954237371E-3</v>
      </c>
      <c r="U350" s="3">
        <v>7.4309049660249487E-3</v>
      </c>
      <c r="V350" s="3">
        <v>-2.3351697786618563E-2</v>
      </c>
      <c r="W350" s="3">
        <v>6.1100049430690261E-3</v>
      </c>
      <c r="X350" s="3">
        <v>-3.5714285714285712E-2</v>
      </c>
      <c r="Y350" s="3">
        <v>2.0648487447101922E-3</v>
      </c>
      <c r="Z350" s="3">
        <v>-5.2770448548812715E-3</v>
      </c>
      <c r="AA350" s="3">
        <v>8.1396232652301802E-3</v>
      </c>
      <c r="AB350" s="3">
        <v>-2.4605510278637454E-2</v>
      </c>
      <c r="AC350" s="3">
        <v>-4.8919852222388586E-2</v>
      </c>
      <c r="AD350" s="3">
        <v>-1.0104269854601659E-2</v>
      </c>
      <c r="AE350" s="3">
        <v>-5.5968983348345921E-2</v>
      </c>
      <c r="AF350" s="3">
        <v>-1.9799724768953E-2</v>
      </c>
      <c r="AG350" s="3">
        <v>-3.32785127362367E-2</v>
      </c>
      <c r="AH350" s="3">
        <v>-1.8965469883646783E-2</v>
      </c>
      <c r="AI350" s="3">
        <v>-2.3012383468446966E-2</v>
      </c>
      <c r="AJ350" s="3">
        <v>5.4419613974551967E-4</v>
      </c>
      <c r="AK350" s="3">
        <v>-2.5862068965517265E-2</v>
      </c>
      <c r="AL350" s="3">
        <v>-1.9767299577567472E-2</v>
      </c>
      <c r="AM350" s="3">
        <v>-1.5983116066876416E-2</v>
      </c>
      <c r="AN350" s="3">
        <v>-2.8471678580618408E-2</v>
      </c>
    </row>
    <row r="351" spans="1:40" x14ac:dyDescent="0.3">
      <c r="A351" s="101">
        <v>44816</v>
      </c>
      <c r="B351" s="3">
        <v>3.4846475289644761E-2</v>
      </c>
      <c r="C351" s="3">
        <v>6.9000240197250881E-3</v>
      </c>
      <c r="D351" s="3">
        <v>-4.3640833364961239E-3</v>
      </c>
      <c r="E351" s="3">
        <v>1.4488878576158432E-3</v>
      </c>
      <c r="F351" s="3">
        <v>4.9334344901979778E-2</v>
      </c>
      <c r="G351" s="3">
        <v>-3.9567943007740622E-2</v>
      </c>
      <c r="H351" s="3">
        <v>-8.1772779801458082E-4</v>
      </c>
      <c r="I351" s="3">
        <v>3.7948248540450341E-2</v>
      </c>
      <c r="J351" s="3">
        <v>7.1394467020962733E-3</v>
      </c>
      <c r="K351" s="3">
        <v>-4.3640833364961239E-3</v>
      </c>
      <c r="L351" s="3">
        <v>1.8820051057443676E-2</v>
      </c>
      <c r="M351" s="3">
        <v>-1.0797521472392645E-2</v>
      </c>
      <c r="N351" s="3">
        <v>5.2905670784930486E-4</v>
      </c>
      <c r="O351" s="3">
        <v>6.9000240197250881E-3</v>
      </c>
      <c r="P351" s="3">
        <v>3.0533842239186385E-3</v>
      </c>
      <c r="Q351" s="3">
        <v>1.5472254685027928E-2</v>
      </c>
      <c r="R351" s="3">
        <v>0</v>
      </c>
      <c r="S351" s="3">
        <v>0</v>
      </c>
      <c r="T351" s="3">
        <v>-6.1176716527986605E-3</v>
      </c>
      <c r="U351" s="3">
        <v>1.6559345524977055E-3</v>
      </c>
      <c r="V351" s="3">
        <v>5.6259527757025422E-3</v>
      </c>
      <c r="W351" s="3">
        <v>4.4028341476781141E-2</v>
      </c>
      <c r="X351" s="3">
        <v>0</v>
      </c>
      <c r="Y351" s="3">
        <v>5.0447063718663341E-3</v>
      </c>
      <c r="Z351" s="3">
        <v>1.3262599469495739E-3</v>
      </c>
      <c r="AA351" s="3">
        <v>-1.2028520516351804E-3</v>
      </c>
      <c r="AB351" s="3">
        <v>1.4158319945309777E-2</v>
      </c>
      <c r="AC351" s="3">
        <v>2.0629555139241963E-2</v>
      </c>
      <c r="AD351" s="3">
        <v>6.2561152213345015E-3</v>
      </c>
      <c r="AE351" s="3">
        <v>2.5769808618699579E-2</v>
      </c>
      <c r="AF351" s="3">
        <v>1.1761758134521702E-2</v>
      </c>
      <c r="AG351" s="3">
        <v>1.1049723287304644E-2</v>
      </c>
      <c r="AH351" s="3">
        <v>0</v>
      </c>
      <c r="AI351" s="3">
        <v>-1.3939172468524098E-2</v>
      </c>
      <c r="AJ351" s="3">
        <v>1.576724524138429E-2</v>
      </c>
      <c r="AK351" s="3">
        <v>-1.3274336283185756E-2</v>
      </c>
      <c r="AL351" s="3">
        <v>1.8031645183954278E-2</v>
      </c>
      <c r="AM351" s="3">
        <v>5.2142244553598824E-2</v>
      </c>
      <c r="AN351" s="3">
        <v>9.7875403292708267E-3</v>
      </c>
    </row>
    <row r="352" spans="1:40" x14ac:dyDescent="0.3">
      <c r="A352" s="101">
        <v>44817</v>
      </c>
      <c r="B352" s="3">
        <v>-5.981426880742738E-3</v>
      </c>
      <c r="C352" s="3">
        <v>7.7704569666825962E-4</v>
      </c>
      <c r="D352" s="3">
        <v>-1.6888318390061781E-3</v>
      </c>
      <c r="E352" s="3">
        <v>-1.4196057912047927E-2</v>
      </c>
      <c r="F352" s="3">
        <v>-6.0820866565504991E-2</v>
      </c>
      <c r="G352" s="3">
        <v>-2.1467199061328258E-2</v>
      </c>
      <c r="H352" s="3">
        <v>2.1880284071694955E-3</v>
      </c>
      <c r="I352" s="3">
        <v>-3.495375793305576E-2</v>
      </c>
      <c r="J352" s="3">
        <v>4.805800223193003E-3</v>
      </c>
      <c r="K352" s="3">
        <v>-1.6888318390061781E-3</v>
      </c>
      <c r="L352" s="3">
        <v>1.4488878576158432E-3</v>
      </c>
      <c r="M352" s="3">
        <v>7.1941700026253936E-3</v>
      </c>
      <c r="N352" s="3">
        <v>-8.3736754448405053E-3</v>
      </c>
      <c r="O352" s="3">
        <v>7.7704569666825962E-4</v>
      </c>
      <c r="P352" s="3">
        <v>3.5515983537086323E-3</v>
      </c>
      <c r="Q352" s="3">
        <v>1.4434674416500816E-2</v>
      </c>
      <c r="R352" s="3">
        <v>1.0516724156241214E-2</v>
      </c>
      <c r="S352" s="3">
        <v>-1.2731537180243497E-2</v>
      </c>
      <c r="T352" s="3">
        <v>2.8409025556941324E-2</v>
      </c>
      <c r="U352" s="3">
        <v>-4.8842775801293613E-2</v>
      </c>
      <c r="V352" s="3">
        <v>-6.9930692264331728E-3</v>
      </c>
      <c r="W352" s="3">
        <v>-1.0664048752562577E-2</v>
      </c>
      <c r="X352" s="3">
        <v>-2.1925985185185095E-2</v>
      </c>
      <c r="Y352" s="3">
        <v>-5.0901450354926226E-3</v>
      </c>
      <c r="Z352" s="3">
        <v>-1.7218543046357601E-2</v>
      </c>
      <c r="AA352" s="3">
        <v>2.7671416452297124E-3</v>
      </c>
      <c r="AB352" s="3">
        <v>6.3071560784166729E-3</v>
      </c>
      <c r="AC352" s="3">
        <v>2.0423594977812304E-3</v>
      </c>
      <c r="AD352" s="3">
        <v>-2.4214620111802365E-2</v>
      </c>
      <c r="AE352" s="3">
        <v>5.6418480298890565E-2</v>
      </c>
      <c r="AF352" s="3">
        <v>-1.0108756781252552E-2</v>
      </c>
      <c r="AG352" s="3">
        <v>-3.7831019847371951E-3</v>
      </c>
      <c r="AH352" s="3">
        <v>-6.678484103124372E-3</v>
      </c>
      <c r="AI352" s="3">
        <v>-4.3847401459171272E-3</v>
      </c>
      <c r="AJ352" s="3">
        <v>-4.4159274475929385E-3</v>
      </c>
      <c r="AK352" s="3">
        <v>-2.6905829596412582E-2</v>
      </c>
      <c r="AL352" s="3">
        <v>8.6431775021748244E-3</v>
      </c>
      <c r="AM352" s="3">
        <v>6.7578929341311662E-3</v>
      </c>
      <c r="AN352" s="3">
        <v>1.2732014665035391E-2</v>
      </c>
    </row>
    <row r="353" spans="1:40" x14ac:dyDescent="0.3">
      <c r="A353" s="101">
        <v>44818</v>
      </c>
      <c r="B353" s="3">
        <v>-6.6861470254597896E-4</v>
      </c>
      <c r="C353" s="3">
        <v>-7.0592737054848531E-4</v>
      </c>
      <c r="D353" s="3">
        <v>2.7551424196473398E-3</v>
      </c>
      <c r="E353" s="3">
        <v>-7.7952403642392895E-4</v>
      </c>
      <c r="F353" s="3">
        <v>1.1919350885296141E-3</v>
      </c>
      <c r="G353" s="3">
        <v>-1.9074871883393667E-2</v>
      </c>
      <c r="H353" s="3">
        <v>-2.7636520700394874E-3</v>
      </c>
      <c r="I353" s="3">
        <v>-8.3263946711073806E-3</v>
      </c>
      <c r="J353" s="3">
        <v>9.0877287062722037E-3</v>
      </c>
      <c r="K353" s="3">
        <v>2.7551424196473398E-3</v>
      </c>
      <c r="L353" s="3">
        <v>-1.4196057912047927E-2</v>
      </c>
      <c r="M353" s="3">
        <v>-2.1182168531141368E-2</v>
      </c>
      <c r="N353" s="3">
        <v>-1.9555551319372644E-2</v>
      </c>
      <c r="O353" s="3">
        <v>-7.0592737054848531E-4</v>
      </c>
      <c r="P353" s="3">
        <v>-3.1344841691362833E-2</v>
      </c>
      <c r="Q353" s="3">
        <v>4.5059317462639435E-2</v>
      </c>
      <c r="R353" s="3">
        <v>-1.1904641955538118E-2</v>
      </c>
      <c r="S353" s="3">
        <v>1.1486922658060679E-2</v>
      </c>
      <c r="T353" s="3">
        <v>-1.3121490870528848E-2</v>
      </c>
      <c r="U353" s="3">
        <v>4.4240289248361269E-3</v>
      </c>
      <c r="V353" s="3">
        <v>-5.0704190933858882E-2</v>
      </c>
      <c r="W353" s="3">
        <v>-3.4296975906516897E-2</v>
      </c>
      <c r="X353" s="3">
        <v>-7.5734630459535317E-3</v>
      </c>
      <c r="Y353" s="3">
        <v>-2.2383245146969183E-2</v>
      </c>
      <c r="Z353" s="3">
        <v>-2.5606469002695351E-2</v>
      </c>
      <c r="AA353" s="3">
        <v>1.3874261825584626E-2</v>
      </c>
      <c r="AB353" s="3">
        <v>9.0845748723829226E-3</v>
      </c>
      <c r="AC353" s="3">
        <v>-1.32478533787381E-2</v>
      </c>
      <c r="AD353" s="3">
        <v>1.3413776055913327E-2</v>
      </c>
      <c r="AE353" s="3">
        <v>8.6418570136352329E-3</v>
      </c>
      <c r="AF353" s="3">
        <v>1.7104924209727805E-2</v>
      </c>
      <c r="AG353" s="3">
        <v>1.0548522761665706E-2</v>
      </c>
      <c r="AH353" s="3">
        <v>1.4685109440587162E-2</v>
      </c>
      <c r="AI353" s="3">
        <v>1.2029174866815269E-2</v>
      </c>
      <c r="AJ353" s="3">
        <v>2.0497312710798004E-2</v>
      </c>
      <c r="AK353" s="3">
        <v>2.3041474654378002E-2</v>
      </c>
      <c r="AL353" s="3">
        <v>1.3334136222195493E-2</v>
      </c>
      <c r="AM353" s="3">
        <v>-1.1344078035139843E-2</v>
      </c>
      <c r="AN353" s="3">
        <v>1.2391207104498489E-2</v>
      </c>
    </row>
    <row r="354" spans="1:40" x14ac:dyDescent="0.3">
      <c r="A354" s="101">
        <v>44819</v>
      </c>
      <c r="B354" s="3">
        <v>-2.4531621046882706E-2</v>
      </c>
      <c r="C354" s="3">
        <v>-2.3312031035493661E-3</v>
      </c>
      <c r="D354" s="3">
        <v>-2.7351758079058553E-3</v>
      </c>
      <c r="E354" s="3">
        <v>-1.7762134674417361E-2</v>
      </c>
      <c r="F354" s="3">
        <v>4.7618311127417033E-3</v>
      </c>
      <c r="G354" s="3">
        <v>-5.8789959324330272E-3</v>
      </c>
      <c r="H354" s="3">
        <v>-3.6578598305406621E-3</v>
      </c>
      <c r="I354" s="3">
        <v>-3.0226700251889119E-2</v>
      </c>
      <c r="J354" s="3">
        <v>-4.9770035663827305E-3</v>
      </c>
      <c r="K354" s="3">
        <v>-2.7351758079058553E-3</v>
      </c>
      <c r="L354" s="3">
        <v>-7.7952403642392895E-4</v>
      </c>
      <c r="M354" s="3">
        <v>-8.5304575475361022E-2</v>
      </c>
      <c r="N354" s="3">
        <v>-6.8902598951668045E-3</v>
      </c>
      <c r="O354" s="3">
        <v>-2.3312031035493661E-3</v>
      </c>
      <c r="P354" s="3">
        <v>-5.219206680585367E-4</v>
      </c>
      <c r="Q354" s="3">
        <v>-1.2859320137944172E-2</v>
      </c>
      <c r="R354" s="3">
        <v>0</v>
      </c>
      <c r="S354" s="3">
        <v>-1.5320301297944868E-3</v>
      </c>
      <c r="T354" s="3">
        <v>-4.8985910669209921E-3</v>
      </c>
      <c r="U354" s="3">
        <v>5.8203402265441439E-3</v>
      </c>
      <c r="V354" s="3">
        <v>1.1869407274228845E-2</v>
      </c>
      <c r="W354" s="3">
        <v>-1.0958877430086503E-2</v>
      </c>
      <c r="X354" s="3">
        <v>-2.3198963565260383E-2</v>
      </c>
      <c r="Y354" s="3">
        <v>1.0684699655695573E-2</v>
      </c>
      <c r="Z354" s="3">
        <v>6.9156293222683018E-3</v>
      </c>
      <c r="AA354" s="3">
        <v>-1.0231832423149421E-2</v>
      </c>
      <c r="AB354" s="3">
        <v>-2.7219839097731681E-3</v>
      </c>
      <c r="AC354" s="3">
        <v>2.5210710086838255E-3</v>
      </c>
      <c r="AD354" s="3">
        <v>4.3018005548508412E-3</v>
      </c>
      <c r="AE354" s="3">
        <v>-3.421012717906177E-3</v>
      </c>
      <c r="AF354" s="3">
        <v>-7.5287749485414344E-4</v>
      </c>
      <c r="AG354" s="3">
        <v>5.4279329675183717E-3</v>
      </c>
      <c r="AH354" s="3">
        <v>3.3129966066653506E-2</v>
      </c>
      <c r="AI354" s="3">
        <v>-1.5133857020355822E-2</v>
      </c>
      <c r="AJ354" s="3">
        <v>4.1488784413785656E-3</v>
      </c>
      <c r="AK354" s="3">
        <v>-9.0090090090090159E-3</v>
      </c>
      <c r="AL354" s="3">
        <v>6.2542362081236015E-3</v>
      </c>
      <c r="AM354" s="3">
        <v>1.2819451305954735E-3</v>
      </c>
      <c r="AN354" s="3">
        <v>-4.1818053670125751E-3</v>
      </c>
    </row>
    <row r="355" spans="1:40" x14ac:dyDescent="0.3">
      <c r="A355" s="101">
        <v>44823</v>
      </c>
      <c r="B355" s="3">
        <v>1.5546332084090867E-2</v>
      </c>
      <c r="C355" s="3">
        <v>4.5317257081391006E-3</v>
      </c>
      <c r="D355" s="3">
        <v>-3.3577146013392614E-4</v>
      </c>
      <c r="E355" s="3">
        <v>-7.5697315888550156E-3</v>
      </c>
      <c r="F355" s="3">
        <v>-1.0663478283708392E-2</v>
      </c>
      <c r="G355" s="3">
        <v>1.9395401508584407E-2</v>
      </c>
      <c r="H355" s="3">
        <v>2.7237499448118465E-3</v>
      </c>
      <c r="I355" s="3">
        <v>-7.7922077922077792E-3</v>
      </c>
      <c r="J355" s="3">
        <v>-9.9376726226214872E-3</v>
      </c>
      <c r="K355" s="3">
        <v>-3.3577146013392614E-4</v>
      </c>
      <c r="L355" s="3">
        <v>-1.7762134674417361E-2</v>
      </c>
      <c r="M355" s="3">
        <v>8.0055025037415517E-2</v>
      </c>
      <c r="N355" s="3">
        <v>-3.1040801582840429E-3</v>
      </c>
      <c r="O355" s="3">
        <v>4.5317257081391006E-3</v>
      </c>
      <c r="P355" s="3">
        <v>2.1409869451697268E-2</v>
      </c>
      <c r="Q355" s="3">
        <v>1.4559427543207031E-2</v>
      </c>
      <c r="R355" s="3">
        <v>0</v>
      </c>
      <c r="S355" s="3">
        <v>0</v>
      </c>
      <c r="T355" s="3">
        <v>-1.0782838936975608E-2</v>
      </c>
      <c r="U355" s="3">
        <v>-1.1104181592970537E-2</v>
      </c>
      <c r="V355" s="3">
        <v>1.4662645633988461E-3</v>
      </c>
      <c r="W355" s="3">
        <v>-4.6373243703869256E-2</v>
      </c>
      <c r="X355" s="3">
        <v>-1.5625E-2</v>
      </c>
      <c r="Y355" s="3">
        <v>-1.2729262580454601E-2</v>
      </c>
      <c r="Z355" s="3">
        <v>-2.4725274725274807E-2</v>
      </c>
      <c r="AA355" s="3">
        <v>8.2115269707437044E-3</v>
      </c>
      <c r="AB355" s="3">
        <v>-6.296356772981643E-4</v>
      </c>
      <c r="AC355" s="3">
        <v>-1.3937210020440812E-2</v>
      </c>
      <c r="AD355" s="3">
        <v>2.3064766414350028E-3</v>
      </c>
      <c r="AE355" s="3">
        <v>-1.1627842573038179E-2</v>
      </c>
      <c r="AF355" s="3">
        <v>-1.1052531778342117E-2</v>
      </c>
      <c r="AG355" s="3">
        <v>5.8139119601330188E-3</v>
      </c>
      <c r="AH355" s="3">
        <v>-4.8101352910301751E-2</v>
      </c>
      <c r="AI355" s="3">
        <v>-6.9906521488970761E-3</v>
      </c>
      <c r="AJ355" s="3">
        <v>-1.442814250139466E-2</v>
      </c>
      <c r="AK355" s="3">
        <v>-9.0909090909090974E-3</v>
      </c>
      <c r="AL355" s="3">
        <v>-8.6286628205862297E-3</v>
      </c>
      <c r="AM355" s="3">
        <v>-8.8831208545573932E-3</v>
      </c>
      <c r="AN355" s="3">
        <v>-1.2868607501018779E-2</v>
      </c>
    </row>
    <row r="356" spans="1:40" x14ac:dyDescent="0.3">
      <c r="A356" s="101">
        <v>44824</v>
      </c>
      <c r="B356" s="3">
        <v>8.3296509913866387E-3</v>
      </c>
      <c r="C356" s="3">
        <v>-4.934083311294103E-3</v>
      </c>
      <c r="D356" s="3">
        <v>5.1696992607125356E-3</v>
      </c>
      <c r="E356" s="3">
        <v>8.5691421188022476E-3</v>
      </c>
      <c r="F356" s="3">
        <v>4.3912345027566019E-3</v>
      </c>
      <c r="G356" s="3">
        <v>5.7200973630831091E-3</v>
      </c>
      <c r="H356" s="3">
        <v>3.8272779924741034E-3</v>
      </c>
      <c r="I356" s="3">
        <v>-2.0069851657940743E-2</v>
      </c>
      <c r="J356" s="3">
        <v>-6.1675423994710177E-3</v>
      </c>
      <c r="K356" s="3">
        <v>5.1696992607125356E-3</v>
      </c>
      <c r="L356" s="3">
        <v>-7.5697315888550156E-3</v>
      </c>
      <c r="M356" s="3">
        <v>4.7376492479698974E-2</v>
      </c>
      <c r="N356" s="3">
        <v>-6.5932175354631271E-3</v>
      </c>
      <c r="O356" s="3">
        <v>-4.934083311294103E-3</v>
      </c>
      <c r="P356" s="3">
        <v>6.646319358196158E-3</v>
      </c>
      <c r="Q356" s="3">
        <v>-2.0392790598456841E-2</v>
      </c>
      <c r="R356" s="3">
        <v>-3.1446575883780373E-2</v>
      </c>
      <c r="S356" s="3">
        <v>-4.1847384850027361E-4</v>
      </c>
      <c r="T356" s="3">
        <v>-5.9242026905529698E-3</v>
      </c>
      <c r="U356" s="3">
        <v>-5.3771674775215713E-3</v>
      </c>
      <c r="V356" s="3">
        <v>1.0248945392940913E-2</v>
      </c>
      <c r="W356" s="3">
        <v>-1.425491770027937E-2</v>
      </c>
      <c r="X356" s="3">
        <v>-6.9840952380952823E-3</v>
      </c>
      <c r="Y356" s="3">
        <v>-1.2092103817687345E-2</v>
      </c>
      <c r="Z356" s="3">
        <v>-4.2253521126760542E-2</v>
      </c>
      <c r="AA356" s="3">
        <v>1.7400268234703566E-2</v>
      </c>
      <c r="AB356" s="3">
        <v>-9.1032058748506742E-3</v>
      </c>
      <c r="AC356" s="3">
        <v>-5.1621537503584594E-3</v>
      </c>
      <c r="AD356" s="3">
        <v>-8.547068933589105E-3</v>
      </c>
      <c r="AE356" s="3">
        <v>1.2515456586067535E-3</v>
      </c>
      <c r="AF356" s="3">
        <v>-5.587919887741862E-3</v>
      </c>
      <c r="AG356" s="3">
        <v>-3.7159373953731317E-3</v>
      </c>
      <c r="AH356" s="3">
        <v>-1.0638247312550099E-2</v>
      </c>
      <c r="AI356" s="3">
        <v>-4.8482994912442479E-3</v>
      </c>
      <c r="AJ356" s="3">
        <v>2.0428555732935377E-2</v>
      </c>
      <c r="AK356" s="3">
        <v>-1.8348623853211024E-2</v>
      </c>
      <c r="AL356" s="3">
        <v>-1.5373031120530515E-2</v>
      </c>
      <c r="AM356" s="3">
        <v>-3.349030482391299E-3</v>
      </c>
      <c r="AN356" s="3">
        <v>3.1727812811786088E-4</v>
      </c>
    </row>
    <row r="357" spans="1:40" x14ac:dyDescent="0.3">
      <c r="A357" s="101">
        <v>44825</v>
      </c>
      <c r="B357" s="3">
        <v>0</v>
      </c>
      <c r="C357" s="3">
        <v>7.0838481039905282E-4</v>
      </c>
      <c r="D357" s="3">
        <v>-5.4773435237385221E-3</v>
      </c>
      <c r="E357" s="3">
        <v>1.1950898894239026E-2</v>
      </c>
      <c r="F357" s="3">
        <v>2.1860101705722976E-2</v>
      </c>
      <c r="G357" s="3">
        <v>-1.5045826871915949E-2</v>
      </c>
      <c r="H357" s="3">
        <v>1.9771981145763357E-3</v>
      </c>
      <c r="I357" s="3">
        <v>-2.0926047236244374E-2</v>
      </c>
      <c r="J357" s="3">
        <v>-4.1374770933730372E-3</v>
      </c>
      <c r="K357" s="3">
        <v>-5.4773435237385221E-3</v>
      </c>
      <c r="L357" s="3">
        <v>8.5691421188022476E-3</v>
      </c>
      <c r="M357" s="3">
        <v>-1.9455229072354786E-2</v>
      </c>
      <c r="N357" s="3">
        <v>2.1201955606964151E-2</v>
      </c>
      <c r="O357" s="3">
        <v>7.0838481039905282E-4</v>
      </c>
      <c r="P357" s="3">
        <v>-6.6024374503585613E-3</v>
      </c>
      <c r="Q357" s="3">
        <v>1.9275269423775988E-2</v>
      </c>
      <c r="R357" s="3">
        <v>1.3143439550420098E-2</v>
      </c>
      <c r="S357" s="3">
        <v>-1.2768586325559897E-2</v>
      </c>
      <c r="T357" s="3">
        <v>-1.0011922435116198E-2</v>
      </c>
      <c r="U357" s="3">
        <v>1.9080763354025188E-3</v>
      </c>
      <c r="V357" s="3">
        <v>-4.3478529074973422E-3</v>
      </c>
      <c r="W357" s="3">
        <v>-6.8213639909049887E-3</v>
      </c>
      <c r="X357" s="3">
        <v>-3.0690568072552118E-2</v>
      </c>
      <c r="Y357" s="3">
        <v>8.8489901507523086E-4</v>
      </c>
      <c r="Z357" s="3">
        <v>0</v>
      </c>
      <c r="AA357" s="3">
        <v>6.6523767396803671E-3</v>
      </c>
      <c r="AB357" s="3">
        <v>-4.23983521925446E-3</v>
      </c>
      <c r="AC357" s="3">
        <v>2.378293313652329E-3</v>
      </c>
      <c r="AD357" s="3">
        <v>-3.3156656267620314E-3</v>
      </c>
      <c r="AE357" s="3">
        <v>2.8812503125000076E-2</v>
      </c>
      <c r="AF357" s="3">
        <v>5.6193201988365303E-3</v>
      </c>
      <c r="AG357" s="3">
        <v>3.3153751891990667E-3</v>
      </c>
      <c r="AH357" s="3">
        <v>1.6129000096799601E-2</v>
      </c>
      <c r="AI357" s="3">
        <v>2.1823338944395452E-2</v>
      </c>
      <c r="AJ357" s="3">
        <v>1.923703087438039E-2</v>
      </c>
      <c r="AK357" s="3">
        <v>1.8691588785046745E-2</v>
      </c>
      <c r="AL357" s="3">
        <v>8.6824005474767773E-3</v>
      </c>
      <c r="AM357" s="3">
        <v>7.7127531996262193E-3</v>
      </c>
      <c r="AN357" s="3">
        <v>1.137860327482198E-2</v>
      </c>
    </row>
    <row r="358" spans="1:40" x14ac:dyDescent="0.3">
      <c r="A358" s="101">
        <v>44826</v>
      </c>
      <c r="B358" s="3">
        <v>1.2279491319114478E-2</v>
      </c>
      <c r="C358" s="3">
        <v>8.2111408839316662E-3</v>
      </c>
      <c r="D358" s="3">
        <v>2.5328350220790671E-3</v>
      </c>
      <c r="E358" s="3">
        <v>6.4123259605603482E-3</v>
      </c>
      <c r="F358" s="3">
        <v>-2.8004691995860111E-2</v>
      </c>
      <c r="G358" s="3">
        <v>-2.2114588233279504E-3</v>
      </c>
      <c r="H358" s="3">
        <v>-3.8186318252993205E-3</v>
      </c>
      <c r="I358" s="3">
        <v>4.5929968167348872E-2</v>
      </c>
      <c r="J358" s="3">
        <v>1.7595519784093461E-2</v>
      </c>
      <c r="K358" s="3">
        <v>2.5328350220790671E-3</v>
      </c>
      <c r="L358" s="3">
        <v>1.1950898894239026E-2</v>
      </c>
      <c r="M358" s="3">
        <v>-2.4801339285713503E-3</v>
      </c>
      <c r="N358" s="3">
        <v>-7.2213357896474314E-4</v>
      </c>
      <c r="O358" s="3">
        <v>8.2111408839316662E-3</v>
      </c>
      <c r="P358" s="3">
        <v>7.6687120485025876E-3</v>
      </c>
      <c r="Q358" s="3">
        <v>-1.891075944055115E-2</v>
      </c>
      <c r="R358" s="3">
        <v>1.1505831642225108E-2</v>
      </c>
      <c r="S358" s="3">
        <v>-7.9864155509792676E-3</v>
      </c>
      <c r="T358" s="3">
        <v>1.1317086491767268E-2</v>
      </c>
      <c r="U358" s="3">
        <v>-9.839694549658308E-3</v>
      </c>
      <c r="V358" s="3">
        <v>5.8224323196747144E-3</v>
      </c>
      <c r="W358" s="3">
        <v>5.0549551559391587E-2</v>
      </c>
      <c r="X358" s="3">
        <v>2.7374670184696512E-2</v>
      </c>
      <c r="Y358" s="3">
        <v>8.4720344602904098E-3</v>
      </c>
      <c r="Z358" s="3">
        <v>5.8823529411764757E-3</v>
      </c>
      <c r="AA358" s="3">
        <v>8.9264726065139011E-3</v>
      </c>
      <c r="AB358" s="3">
        <v>2.0225817366761205E-2</v>
      </c>
      <c r="AC358" s="3">
        <v>1.2294293120574781E-2</v>
      </c>
      <c r="AD358" s="3">
        <v>6.6534258853841967E-3</v>
      </c>
      <c r="AE358" s="3">
        <v>-9.1120830778456145E-4</v>
      </c>
      <c r="AF358" s="3">
        <v>2.5400003543058014E-3</v>
      </c>
      <c r="AG358" s="3">
        <v>-8.2602233895181371E-4</v>
      </c>
      <c r="AH358" s="3">
        <v>2.6014130152355631E-2</v>
      </c>
      <c r="AI358" s="3">
        <v>1.2343980438531165E-2</v>
      </c>
      <c r="AJ358" s="3">
        <v>5.3742070972055264E-3</v>
      </c>
      <c r="AK358" s="3">
        <v>-4.5871559633028575E-3</v>
      </c>
      <c r="AL358" s="3">
        <v>2.5467796612086917E-2</v>
      </c>
      <c r="AM358" s="3">
        <v>6.4151072406138003E-3</v>
      </c>
      <c r="AN358" s="3">
        <v>4.7437549556142858E-3</v>
      </c>
    </row>
    <row r="359" spans="1:40" x14ac:dyDescent="0.3">
      <c r="A359" s="101">
        <v>44827</v>
      </c>
      <c r="B359" s="3">
        <v>7.2783207154259464E-3</v>
      </c>
      <c r="C359" s="3">
        <v>1.4043294034100083E-3</v>
      </c>
      <c r="D359" s="3">
        <v>5.0218916482135112E-3</v>
      </c>
      <c r="E359" s="3">
        <v>-6.7840248589595914E-3</v>
      </c>
      <c r="F359" s="3">
        <v>-2.2809105007051932E-2</v>
      </c>
      <c r="G359" s="3">
        <v>-1.2518482238213995E-2</v>
      </c>
      <c r="H359" s="3">
        <v>-3.218053550844974E-3</v>
      </c>
      <c r="I359" s="3">
        <v>-1.5217391304347887E-2</v>
      </c>
      <c r="J359" s="3">
        <v>9.7260556261887874E-3</v>
      </c>
      <c r="K359" s="3">
        <v>5.0218916482135112E-3</v>
      </c>
      <c r="L359" s="3">
        <v>6.4123259605603482E-3</v>
      </c>
      <c r="M359" s="3">
        <v>5.4201913122776828E-2</v>
      </c>
      <c r="N359" s="3">
        <v>-5.8716357994798339E-3</v>
      </c>
      <c r="O359" s="3">
        <v>1.4043294034100083E-3</v>
      </c>
      <c r="P359" s="3">
        <v>4.0589550511900257E-3</v>
      </c>
      <c r="Q359" s="3">
        <v>2.4672329702265954E-2</v>
      </c>
      <c r="R359" s="3">
        <v>4.7331465131772183E-3</v>
      </c>
      <c r="S359" s="3">
        <v>1.2254195006496606E-2</v>
      </c>
      <c r="T359" s="3">
        <v>-3.3095202158740386E-2</v>
      </c>
      <c r="U359" s="3">
        <v>-2.9652158992748031E-2</v>
      </c>
      <c r="V359" s="3">
        <v>-1.4471670053629638E-3</v>
      </c>
      <c r="W359" s="3">
        <v>-0.10852516183690368</v>
      </c>
      <c r="X359" s="3">
        <v>-2.1187800963081867E-2</v>
      </c>
      <c r="Y359" s="3">
        <v>-2.2865103534700046E-2</v>
      </c>
      <c r="Z359" s="3">
        <v>-1.0233918128655012E-2</v>
      </c>
      <c r="AA359" s="3">
        <v>3.0196000161980704E-2</v>
      </c>
      <c r="AB359" s="3">
        <v>7.5124226364193854E-3</v>
      </c>
      <c r="AC359" s="3">
        <v>-1.1475326489134264E-2</v>
      </c>
      <c r="AD359" s="3">
        <v>1.7514844747633172E-2</v>
      </c>
      <c r="AE359" s="3">
        <v>-1.3802772165158586E-2</v>
      </c>
      <c r="AF359" s="3">
        <v>-1.3934742517302557E-2</v>
      </c>
      <c r="AG359" s="3">
        <v>1.322856497608259E-2</v>
      </c>
      <c r="AH359" s="3">
        <v>1.2462370814104968E-2</v>
      </c>
      <c r="AI359" s="3">
        <v>2.9612869559647793E-2</v>
      </c>
      <c r="AJ359" s="3">
        <v>5.5363685910588805E-3</v>
      </c>
      <c r="AK359" s="3">
        <v>9.2165898617511607E-3</v>
      </c>
      <c r="AL359" s="3">
        <v>1.8598138377263862E-3</v>
      </c>
      <c r="AM359" s="3">
        <v>-8.6936101361995699E-3</v>
      </c>
      <c r="AN359" s="3">
        <v>3.3080240569727012E-2</v>
      </c>
    </row>
    <row r="360" spans="1:40" x14ac:dyDescent="0.3">
      <c r="A360" s="101">
        <v>44830</v>
      </c>
      <c r="B360" s="3">
        <v>-1.3356599234156195E-2</v>
      </c>
      <c r="C360" s="3">
        <v>6.9820944238437608E-5</v>
      </c>
      <c r="D360" s="3">
        <v>-1.4208408086507807E-4</v>
      </c>
      <c r="E360" s="3">
        <v>-4.8458680948734439E-3</v>
      </c>
      <c r="F360" s="3">
        <v>1.0237505871725448E-2</v>
      </c>
      <c r="G360" s="3">
        <v>-1.5212615074818062E-2</v>
      </c>
      <c r="H360" s="3">
        <v>-2.1635993068341961E-3</v>
      </c>
      <c r="I360" s="3">
        <v>-1.1479072847682077E-2</v>
      </c>
      <c r="J360" s="3">
        <v>-1.6648761290965265E-3</v>
      </c>
      <c r="K360" s="3">
        <v>-1.4208408086507807E-4</v>
      </c>
      <c r="L360" s="3">
        <v>-6.7840248589595914E-3</v>
      </c>
      <c r="M360" s="3">
        <v>-8.0188911311844021E-3</v>
      </c>
      <c r="N360" s="3">
        <v>-1.0995140487937037E-2</v>
      </c>
      <c r="O360" s="3">
        <v>6.9820944238437608E-5</v>
      </c>
      <c r="P360" s="3">
        <v>6.0636176824852093E-3</v>
      </c>
      <c r="Q360" s="3">
        <v>2.4078262862270196E-2</v>
      </c>
      <c r="R360" s="3">
        <v>-5.3947609380454809E-3</v>
      </c>
      <c r="S360" s="3">
        <v>2.8152590277715495E-3</v>
      </c>
      <c r="T360" s="3">
        <v>2.7333169788750656E-2</v>
      </c>
      <c r="U360" s="3">
        <v>1.6352777298192355E-2</v>
      </c>
      <c r="V360" s="3">
        <v>-8.6956459214900684E-3</v>
      </c>
      <c r="W360" s="3">
        <v>-4.6934523079258536E-2</v>
      </c>
      <c r="X360" s="3">
        <v>-2.9189898327320336E-2</v>
      </c>
      <c r="Y360" s="3">
        <v>-2.5942001567808026E-2</v>
      </c>
      <c r="Z360" s="3">
        <v>-4.8744460856720712E-2</v>
      </c>
      <c r="AA360" s="3">
        <v>3.2122243616873158E-2</v>
      </c>
      <c r="AB360" s="3">
        <v>1.1806084624648891E-2</v>
      </c>
      <c r="AC360" s="3">
        <v>3.2577859570825735E-2</v>
      </c>
      <c r="AD360" s="3">
        <v>-2.5982517918569639E-3</v>
      </c>
      <c r="AE360" s="3">
        <v>6.1902662588589639E-2</v>
      </c>
      <c r="AF360" s="3">
        <v>-1.0020482940919883E-2</v>
      </c>
      <c r="AG360" s="3">
        <v>1.3463892288861619E-2</v>
      </c>
      <c r="AH360" s="3">
        <v>-1.5280105937992106E-2</v>
      </c>
      <c r="AI360" s="3">
        <v>-1.4286561904472592E-2</v>
      </c>
      <c r="AJ360" s="3">
        <v>8.9868333717625544E-3</v>
      </c>
      <c r="AK360" s="3">
        <v>-2.7397260273972629E-2</v>
      </c>
      <c r="AL360" s="3">
        <v>9.0735272474284333E-3</v>
      </c>
      <c r="AM360" s="3">
        <v>1.5406887486592961E-2</v>
      </c>
      <c r="AN360" s="3">
        <v>1.1064774954332276E-2</v>
      </c>
    </row>
    <row r="361" spans="1:40" x14ac:dyDescent="0.3">
      <c r="A361" s="101">
        <v>44831</v>
      </c>
      <c r="B361" s="3">
        <v>3.7283643712057855E-2</v>
      </c>
      <c r="C361" s="3">
        <v>-4.0659746559230121E-3</v>
      </c>
      <c r="D361" s="3">
        <v>-1.2415935978748716E-3</v>
      </c>
      <c r="E361" s="3">
        <v>-1.1593715930733814E-3</v>
      </c>
      <c r="F361" s="3">
        <v>-1.4187297736971322E-2</v>
      </c>
      <c r="G361" s="3">
        <v>-5.7443069269832767E-2</v>
      </c>
      <c r="H361" s="3">
        <v>6.0936443255697808E-3</v>
      </c>
      <c r="I361" s="3">
        <v>4.0643146076067276E-2</v>
      </c>
      <c r="J361" s="3">
        <v>-9.1719427784122658E-3</v>
      </c>
      <c r="K361" s="3">
        <v>-1.2415935978748716E-3</v>
      </c>
      <c r="L361" s="3">
        <v>-4.8458680948734439E-3</v>
      </c>
      <c r="M361" s="3">
        <v>2.6152400709643325E-3</v>
      </c>
      <c r="N361" s="3">
        <v>-5.2370372370517957E-3</v>
      </c>
      <c r="O361" s="3">
        <v>-4.0659746559230121E-3</v>
      </c>
      <c r="P361" s="3">
        <v>2.5112506278251977E-3</v>
      </c>
      <c r="Q361" s="3">
        <v>2.938971299487531E-3</v>
      </c>
      <c r="R361" s="3">
        <v>-6.8750629373337524E-4</v>
      </c>
      <c r="S361" s="3">
        <v>2.8079050889792938E-4</v>
      </c>
      <c r="T361" s="3">
        <v>-5.0335951097514224E-3</v>
      </c>
      <c r="U361" s="3">
        <v>4.9731786298387967E-2</v>
      </c>
      <c r="V361" s="3">
        <v>-7.3099462932736947E-3</v>
      </c>
      <c r="W361" s="3">
        <v>1.0156903089765667E-2</v>
      </c>
      <c r="X361" s="3">
        <v>1.1824358108108069E-2</v>
      </c>
      <c r="Y361" s="3">
        <v>4.0678511664360928E-2</v>
      </c>
      <c r="Z361" s="3">
        <v>2.4844720496894294E-2</v>
      </c>
      <c r="AA361" s="3">
        <v>-6.7118613637981136E-3</v>
      </c>
      <c r="AB361" s="3">
        <v>1.5080125360559847E-2</v>
      </c>
      <c r="AC361" s="3">
        <v>1.3866505801473179E-2</v>
      </c>
      <c r="AD361" s="3">
        <v>-4.5587771369394996E-3</v>
      </c>
      <c r="AE361" s="3">
        <v>-2.8969982757698794E-5</v>
      </c>
      <c r="AF361" s="3">
        <v>1.401508282361206E-2</v>
      </c>
      <c r="AG361" s="3">
        <v>9.6618357487922076E-3</v>
      </c>
      <c r="AH361" s="3">
        <v>-1.8102380471751195E-3</v>
      </c>
      <c r="AI361" s="3">
        <v>-3.0512204533442418E-3</v>
      </c>
      <c r="AJ361" s="3">
        <v>-1.0098397876322079E-2</v>
      </c>
      <c r="AK361" s="3">
        <v>3.7558685446009425E-2</v>
      </c>
      <c r="AL361" s="3">
        <v>6.026217242742331E-3</v>
      </c>
      <c r="AM361" s="3">
        <v>1.6145415095094079E-3</v>
      </c>
      <c r="AN361" s="3">
        <v>-7.5144626801745774E-4</v>
      </c>
    </row>
    <row r="362" spans="1:40" x14ac:dyDescent="0.3">
      <c r="A362" s="101">
        <v>44832</v>
      </c>
      <c r="B362" s="3">
        <v>-1.8399656755000757E-2</v>
      </c>
      <c r="C362" s="3">
        <v>1.2670310641326528E-3</v>
      </c>
      <c r="D362" s="3">
        <v>-1.8926543082079517E-3</v>
      </c>
      <c r="E362" s="3">
        <v>6.9179392135349967E-3</v>
      </c>
      <c r="F362" s="3">
        <v>-6.9901513948426438E-3</v>
      </c>
      <c r="G362" s="3">
        <v>8.7318508815916168E-3</v>
      </c>
      <c r="H362" s="3">
        <v>1.2397224643115527E-3</v>
      </c>
      <c r="I362" s="3">
        <v>-1.3304678682604289E-2</v>
      </c>
      <c r="J362" s="3">
        <v>4.0873665901782286E-3</v>
      </c>
      <c r="K362" s="3">
        <v>-1.8926543082079517E-3</v>
      </c>
      <c r="L362" s="3">
        <v>-1.1593715930733814E-3</v>
      </c>
      <c r="M362" s="3">
        <v>1.3753901529708405E-2</v>
      </c>
      <c r="N362" s="3">
        <v>1.2007653162914868E-3</v>
      </c>
      <c r="O362" s="3">
        <v>1.2670310641326528E-3</v>
      </c>
      <c r="P362" s="3">
        <v>-3.4068037778959871E-2</v>
      </c>
      <c r="Q362" s="3">
        <v>-4.2490791546131446E-2</v>
      </c>
      <c r="R362" s="3">
        <v>1.2919453224187777E-2</v>
      </c>
      <c r="S362" s="3">
        <v>0</v>
      </c>
      <c r="T362" s="3">
        <v>1.7104319383152083E-2</v>
      </c>
      <c r="U362" s="3">
        <v>7.8960608827715606E-3</v>
      </c>
      <c r="V362" s="3">
        <v>-3.8291618292799479E-2</v>
      </c>
      <c r="W362" s="3">
        <v>4.4485012486886841E-2</v>
      </c>
      <c r="X362" s="3">
        <v>2.8714456470301984E-2</v>
      </c>
      <c r="Y362" s="3">
        <v>3.1418320861960891E-2</v>
      </c>
      <c r="Z362" s="3">
        <v>1.8181818181818198E-2</v>
      </c>
      <c r="AA362" s="3">
        <v>1.7703148567506056E-3</v>
      </c>
      <c r="AB362" s="3">
        <v>3.3612274500611243E-3</v>
      </c>
      <c r="AC362" s="3">
        <v>2.323624292585784E-3</v>
      </c>
      <c r="AD362" s="3">
        <v>-3.5983025732196764E-3</v>
      </c>
      <c r="AE362" s="3">
        <v>-1.6025602577130961E-2</v>
      </c>
      <c r="AF362" s="3">
        <v>-5.1190076906841627E-3</v>
      </c>
      <c r="AG362" s="3">
        <v>1.1563038277511969E-2</v>
      </c>
      <c r="AH362" s="3">
        <v>0</v>
      </c>
      <c r="AI362" s="3">
        <v>-6.3764746087391897E-4</v>
      </c>
      <c r="AJ362" s="3">
        <v>3.9918320728030412E-3</v>
      </c>
      <c r="AK362" s="3">
        <v>-9.0497737556561163E-3</v>
      </c>
      <c r="AL362" s="3">
        <v>-9.7830160983846792E-3</v>
      </c>
      <c r="AM362" s="3">
        <v>-2.16901173708921E-2</v>
      </c>
      <c r="AN362" s="3">
        <v>-8.4461940752593515E-3</v>
      </c>
    </row>
    <row r="363" spans="1:40" x14ac:dyDescent="0.3">
      <c r="A363" s="101">
        <v>44833</v>
      </c>
      <c r="B363" s="3">
        <v>3.988658576641195E-2</v>
      </c>
      <c r="C363" s="3">
        <v>2.1793740399015144E-3</v>
      </c>
      <c r="D363" s="3">
        <v>-2.3671311082202355E-3</v>
      </c>
      <c r="E363" s="3">
        <v>4.9339067716296422E-3</v>
      </c>
      <c r="F363" s="3">
        <v>-1.5320911745169368E-2</v>
      </c>
      <c r="G363" s="3">
        <v>1.5092972608994105E-2</v>
      </c>
      <c r="H363" s="3">
        <v>-2.4730011032351642E-3</v>
      </c>
      <c r="I363" s="3">
        <v>-2.1748151370160804E-3</v>
      </c>
      <c r="J363" s="3">
        <v>-4.8132041655976912E-2</v>
      </c>
      <c r="K363" s="3">
        <v>-2.3671311082202355E-3</v>
      </c>
      <c r="L363" s="3">
        <v>6.9179392135349967E-3</v>
      </c>
      <c r="M363" s="3">
        <v>-2.8070198830409364E-2</v>
      </c>
      <c r="N363" s="3">
        <v>2.4815494020845791E-2</v>
      </c>
      <c r="O363" s="3">
        <v>2.1793740399015144E-3</v>
      </c>
      <c r="P363" s="3">
        <v>3.111981166391083E-3</v>
      </c>
      <c r="Q363" s="3">
        <v>-4.3611350090426881E-2</v>
      </c>
      <c r="R363" s="3">
        <v>1.8943458343341539E-2</v>
      </c>
      <c r="S363" s="3">
        <v>0</v>
      </c>
      <c r="T363" s="3">
        <v>3.671252085362342E-2</v>
      </c>
      <c r="U363" s="3">
        <v>-2.903229118655928E-2</v>
      </c>
      <c r="V363" s="3">
        <v>1.531394594453595E-2</v>
      </c>
      <c r="W363" s="3">
        <v>-1.4002253870292559E-2</v>
      </c>
      <c r="X363" s="3">
        <v>-1.9473872751505524E-3</v>
      </c>
      <c r="Y363" s="3">
        <v>-1.2584983371398597E-2</v>
      </c>
      <c r="Z363" s="3">
        <v>-1.7857142857142873E-2</v>
      </c>
      <c r="AA363" s="3">
        <v>3.2571011103859758E-2</v>
      </c>
      <c r="AB363" s="3">
        <v>1.4739071670697493E-3</v>
      </c>
      <c r="AC363" s="3">
        <v>3.2279065767589479E-3</v>
      </c>
      <c r="AD363" s="3">
        <v>-1.7728198103589637E-2</v>
      </c>
      <c r="AE363" s="3">
        <v>-1.5047372924590971E-2</v>
      </c>
      <c r="AF363" s="3">
        <v>-2.8042112532994254E-2</v>
      </c>
      <c r="AG363" s="3">
        <v>-1.4584193354978523E-2</v>
      </c>
      <c r="AH363" s="3">
        <v>2.0381581930133081E-2</v>
      </c>
      <c r="AI363" s="3">
        <v>2.5202478784739732E-2</v>
      </c>
      <c r="AJ363" s="3">
        <v>2.3540600483774807E-2</v>
      </c>
      <c r="AK363" s="3">
        <v>3.6529680365296836E-2</v>
      </c>
      <c r="AL363" s="3">
        <v>2.5665064632626354E-3</v>
      </c>
      <c r="AM363" s="3">
        <v>4.4821891620551745E-2</v>
      </c>
      <c r="AN363" s="3">
        <v>5.8417595295511653E-3</v>
      </c>
    </row>
    <row r="364" spans="1:40" x14ac:dyDescent="0.3">
      <c r="A364" s="101">
        <v>44834</v>
      </c>
      <c r="B364" s="3">
        <v>1.2995224829015358E-2</v>
      </c>
      <c r="C364" s="3">
        <v>-2.3148986354840206E-3</v>
      </c>
      <c r="D364" s="3">
        <v>-3.5409949550726301E-4</v>
      </c>
      <c r="E364" s="3">
        <v>-4.1295458966553872E-3</v>
      </c>
      <c r="F364" s="3">
        <v>-2.6492834726798083E-2</v>
      </c>
      <c r="G364" s="3">
        <v>-1.1807583083111766E-3</v>
      </c>
      <c r="H364" s="3">
        <v>2.0428318248846833E-3</v>
      </c>
      <c r="I364" s="3">
        <v>-4.3596336373302855E-4</v>
      </c>
      <c r="J364" s="3">
        <v>5.029696156880146E-4</v>
      </c>
      <c r="K364" s="3">
        <v>-3.5409949550726301E-4</v>
      </c>
      <c r="L364" s="3">
        <v>4.9339067716296422E-3</v>
      </c>
      <c r="M364" s="3">
        <v>-4.572755826059172E-3</v>
      </c>
      <c r="N364" s="3">
        <v>-1.836350121687625E-2</v>
      </c>
      <c r="O364" s="3">
        <v>-2.3148986354840206E-3</v>
      </c>
      <c r="P364" s="3">
        <v>1.0341313340227525E-2</v>
      </c>
      <c r="Q364" s="3">
        <v>-1.759998183878107E-2</v>
      </c>
      <c r="R364" s="3">
        <v>-1.4961783870145674E-2</v>
      </c>
      <c r="S364" s="3">
        <v>0</v>
      </c>
      <c r="T364" s="3">
        <v>-5.4832687610994087E-3</v>
      </c>
      <c r="U364" s="3">
        <v>-3.6386651159879761E-2</v>
      </c>
      <c r="V364" s="3">
        <v>-1.2066397898847173E-2</v>
      </c>
      <c r="W364" s="3">
        <v>1.1834321185941915E-2</v>
      </c>
      <c r="X364" s="3">
        <v>-2.6016227642276412E-2</v>
      </c>
      <c r="Y364" s="3">
        <v>-1.3903961587485459E-2</v>
      </c>
      <c r="Z364" s="3">
        <v>-1.8181818181818063E-2</v>
      </c>
      <c r="AA364" s="3">
        <v>1.7539107382550323E-2</v>
      </c>
      <c r="AB364" s="3">
        <v>-5.2849377429357788E-3</v>
      </c>
      <c r="AC364" s="3">
        <v>-5.0514858276078441E-2</v>
      </c>
      <c r="AD364" s="3">
        <v>0</v>
      </c>
      <c r="AE364" s="3">
        <v>-3.5796610446502619E-2</v>
      </c>
      <c r="AF364" s="3">
        <v>-7.1468774653978568E-3</v>
      </c>
      <c r="AG364" s="3">
        <v>4.8000399999999386E-3</v>
      </c>
      <c r="AH364" s="3">
        <v>3.8086888925798023E-3</v>
      </c>
      <c r="AI364" s="3">
        <v>5.8502348447782015E-3</v>
      </c>
      <c r="AJ364" s="3">
        <v>8.0158079268093929E-3</v>
      </c>
      <c r="AK364" s="3">
        <v>8.8105726872246774E-3</v>
      </c>
      <c r="AL364" s="3">
        <v>-2.9104127957191327E-2</v>
      </c>
      <c r="AM364" s="3">
        <v>1.7790520669275573E-2</v>
      </c>
      <c r="AN364" s="3">
        <v>-2.8954837885075392E-2</v>
      </c>
    </row>
    <row r="365" spans="1:40" x14ac:dyDescent="0.3">
      <c r="A365" s="101">
        <v>44837</v>
      </c>
      <c r="B365" s="3">
        <v>8.6902177959078796E-3</v>
      </c>
      <c r="C365" s="3">
        <v>1.1250169624309024E-2</v>
      </c>
      <c r="D365" s="3">
        <v>-2.5041084798418257E-3</v>
      </c>
      <c r="E365" s="3">
        <v>-1.0274690448570867E-2</v>
      </c>
      <c r="F365" s="3">
        <v>-1.0367180106136737E-2</v>
      </c>
      <c r="G365" s="3">
        <v>-4.5753052865666874E-2</v>
      </c>
      <c r="H365" s="3">
        <v>1.9407841442998061E-3</v>
      </c>
      <c r="I365" s="3">
        <v>1.3519406890536359E-2</v>
      </c>
      <c r="J365" s="3">
        <v>-1.5085621241359072E-3</v>
      </c>
      <c r="K365" s="3">
        <v>-2.5041084798418257E-3</v>
      </c>
      <c r="L365" s="3">
        <v>-4.1295458966553872E-3</v>
      </c>
      <c r="M365" s="3">
        <v>-2.4419801150391596E-2</v>
      </c>
      <c r="N365" s="3">
        <v>-1.1003952037699288E-3</v>
      </c>
      <c r="O365" s="3">
        <v>1.1250169624309024E-2</v>
      </c>
      <c r="P365" s="3">
        <v>1.1770674934970545E-2</v>
      </c>
      <c r="Q365" s="3">
        <v>-4.1530997355588219E-2</v>
      </c>
      <c r="R365" s="3">
        <v>1.8948733287349827E-2</v>
      </c>
      <c r="S365" s="3">
        <v>0</v>
      </c>
      <c r="T365" s="3">
        <v>-8.9593401304172114E-3</v>
      </c>
      <c r="U365" s="3">
        <v>1.8059396926007117E-2</v>
      </c>
      <c r="V365" s="3">
        <v>7.6335930710322211E-3</v>
      </c>
      <c r="W365" s="3">
        <v>-3.6842117297058087E-2</v>
      </c>
      <c r="X365" s="3">
        <v>5.0083136892049218E-3</v>
      </c>
      <c r="Y365" s="3">
        <v>-2.3499449563037004E-3</v>
      </c>
      <c r="Z365" s="3">
        <v>-1.8518518518518535E-2</v>
      </c>
      <c r="AA365" s="3">
        <v>0.1266159834352821</v>
      </c>
      <c r="AB365" s="3">
        <v>-3.3620280976394786E-4</v>
      </c>
      <c r="AC365" s="3">
        <v>1.2568981819829104E-2</v>
      </c>
      <c r="AD365" s="3">
        <v>2.6738714126208827E-3</v>
      </c>
      <c r="AE365" s="3">
        <v>4.0698303083473919E-3</v>
      </c>
      <c r="AF365" s="3">
        <v>2.6660644220602011E-3</v>
      </c>
      <c r="AG365" s="3">
        <v>-3.582802405143211E-3</v>
      </c>
      <c r="AH365" s="3">
        <v>0</v>
      </c>
      <c r="AI365" s="3">
        <v>-1.8568308205791839E-4</v>
      </c>
      <c r="AJ365" s="3">
        <v>4.5265629574441808E-3</v>
      </c>
      <c r="AK365" s="3">
        <v>-8.7336244541484798E-3</v>
      </c>
      <c r="AL365" s="3">
        <v>1.0675924256087197E-3</v>
      </c>
      <c r="AM365" s="3">
        <v>1.0349203796553916E-2</v>
      </c>
      <c r="AN365" s="3">
        <v>-4.550985703730733E-3</v>
      </c>
    </row>
    <row r="366" spans="1:40" x14ac:dyDescent="0.3">
      <c r="A366" s="101">
        <v>44838</v>
      </c>
      <c r="B366" s="3">
        <v>-7.1794363736703047E-3</v>
      </c>
      <c r="C366" s="3">
        <v>-6.8141342446819408E-3</v>
      </c>
      <c r="D366" s="3">
        <v>-1.270741867796707E-3</v>
      </c>
      <c r="E366" s="3">
        <v>-4.841435017583065E-3</v>
      </c>
      <c r="F366" s="3">
        <v>3.0990876676846094E-2</v>
      </c>
      <c r="G366" s="3">
        <v>-2.4317458467320082E-3</v>
      </c>
      <c r="H366" s="3">
        <v>-2.6949910223108604E-4</v>
      </c>
      <c r="I366" s="3">
        <v>-1.5060283993115271E-2</v>
      </c>
      <c r="J366" s="3">
        <v>-1.4731779135461592E-2</v>
      </c>
      <c r="K366" s="3">
        <v>-1.270741867796707E-3</v>
      </c>
      <c r="L366" s="3">
        <v>-1.0274690448570867E-2</v>
      </c>
      <c r="M366" s="3">
        <v>-3.9405206414136536E-2</v>
      </c>
      <c r="N366" s="3">
        <v>1.2668720067998476E-2</v>
      </c>
      <c r="O366" s="3">
        <v>-6.8141342446819408E-3</v>
      </c>
      <c r="P366" s="3">
        <v>-6.5756702073849283E-3</v>
      </c>
      <c r="Q366" s="3">
        <v>1.3593888205841287E-2</v>
      </c>
      <c r="R366" s="3">
        <v>2.8780189043938025E-2</v>
      </c>
      <c r="S366" s="3">
        <v>-3.6486337922816254E-3</v>
      </c>
      <c r="T366" s="3">
        <v>-7.1858717409414886E-3</v>
      </c>
      <c r="U366" s="3">
        <v>2.2415837685775462E-2</v>
      </c>
      <c r="V366" s="3">
        <v>3.0302800755450214E-3</v>
      </c>
      <c r="W366" s="3">
        <v>-3.4608448841579771E-2</v>
      </c>
      <c r="X366" s="3">
        <v>-3.6544850498338916E-2</v>
      </c>
      <c r="Y366" s="3">
        <v>-7.2874858761507628E-3</v>
      </c>
      <c r="Z366" s="3">
        <v>-1.5723270440252634E-3</v>
      </c>
      <c r="AA366" s="3">
        <v>-6.2740502059899063E-3</v>
      </c>
      <c r="AB366" s="3">
        <v>4.5747794910287578E-3</v>
      </c>
      <c r="AC366" s="3">
        <v>-3.9185870947178937E-2</v>
      </c>
      <c r="AD366" s="3">
        <v>-1.4666714976072213E-2</v>
      </c>
      <c r="AE366" s="3">
        <v>2.5372319531098298E-3</v>
      </c>
      <c r="AF366" s="3">
        <v>-1.409185845006254E-2</v>
      </c>
      <c r="AG366" s="3">
        <v>-0.13943267521243802</v>
      </c>
      <c r="AH366" s="3">
        <v>1.6864605888130331E-3</v>
      </c>
      <c r="AI366" s="3">
        <v>4.3318462362255568E-3</v>
      </c>
      <c r="AJ366" s="3">
        <v>-2.6184603140223181E-3</v>
      </c>
      <c r="AK366" s="3">
        <v>-8.8105726872246774E-3</v>
      </c>
      <c r="AL366" s="3">
        <v>6.4782200600339845E-3</v>
      </c>
      <c r="AM366" s="3">
        <v>-4.6749145791362967E-3</v>
      </c>
      <c r="AN366" s="3">
        <v>1.6775257580640315E-2</v>
      </c>
    </row>
    <row r="367" spans="1:40" x14ac:dyDescent="0.3">
      <c r="A367" s="101">
        <v>44839</v>
      </c>
      <c r="B367" s="3">
        <v>1.2396644657364115E-2</v>
      </c>
      <c r="C367" s="3">
        <v>1.8552201078159282E-2</v>
      </c>
      <c r="D367" s="3">
        <v>9.1686914207392267E-4</v>
      </c>
      <c r="E367" s="3">
        <v>2.2500824411870925E-2</v>
      </c>
      <c r="F367" s="3">
        <v>0</v>
      </c>
      <c r="G367" s="3">
        <v>1.7063779938035043E-2</v>
      </c>
      <c r="H367" s="3">
        <v>-9.7719759946396831E-5</v>
      </c>
      <c r="I367" s="3">
        <v>-3.014408170135784E-2</v>
      </c>
      <c r="J367" s="3">
        <v>8.3066127267724769E-3</v>
      </c>
      <c r="K367" s="3">
        <v>9.1686914207392267E-4</v>
      </c>
      <c r="L367" s="3">
        <v>-4.841435017583065E-3</v>
      </c>
      <c r="M367" s="3">
        <v>7.6625442550332268E-2</v>
      </c>
      <c r="N367" s="3">
        <v>-2.5383415981262321E-3</v>
      </c>
      <c r="O367" s="3">
        <v>1.8552201078159282E-2</v>
      </c>
      <c r="P367" s="3">
        <v>-1.1710743977125427E-2</v>
      </c>
      <c r="Q367" s="3">
        <v>0</v>
      </c>
      <c r="R367" s="3">
        <v>-6.4558409205148692E-3</v>
      </c>
      <c r="S367" s="3">
        <v>0</v>
      </c>
      <c r="T367" s="3">
        <v>1.8678461300778861E-2</v>
      </c>
      <c r="U367" s="3">
        <v>1.0094583093560337E-2</v>
      </c>
      <c r="V367" s="3">
        <v>1.5106250287714785E-3</v>
      </c>
      <c r="W367" s="3">
        <v>-4.402509255910219E-3</v>
      </c>
      <c r="X367" s="3">
        <v>-6.5862068965517245E-2</v>
      </c>
      <c r="Y367" s="3">
        <v>1.4829971712664912E-3</v>
      </c>
      <c r="Z367" s="3">
        <v>-1.4173228346456672E-2</v>
      </c>
      <c r="AA367" s="3">
        <v>1.9078440074409453E-2</v>
      </c>
      <c r="AB367" s="3">
        <v>-3.1474190818495235E-3</v>
      </c>
      <c r="AC367" s="3">
        <v>-1.1367585012302183E-2</v>
      </c>
      <c r="AD367" s="3">
        <v>-1.251684194816602E-2</v>
      </c>
      <c r="AE367" s="3">
        <v>-2.2962262801695683E-2</v>
      </c>
      <c r="AF367" s="3">
        <v>-3.3710972879372761E-2</v>
      </c>
      <c r="AG367" s="3">
        <v>2.50695902938908E-2</v>
      </c>
      <c r="AH367" s="3">
        <v>1.9360196687555602E-2</v>
      </c>
      <c r="AI367" s="3">
        <v>-1.9100299658583115E-3</v>
      </c>
      <c r="AJ367" s="3">
        <v>-8.7918226835058434E-3</v>
      </c>
      <c r="AK367" s="3">
        <v>-3.555555555555559E-2</v>
      </c>
      <c r="AL367" s="3">
        <v>4.8366946453840647E-2</v>
      </c>
      <c r="AM367" s="3">
        <v>-8.376767834118181E-3</v>
      </c>
      <c r="AN367" s="3">
        <v>4.8636373925357752E-3</v>
      </c>
    </row>
    <row r="368" spans="1:40" x14ac:dyDescent="0.3">
      <c r="A368" s="101">
        <v>44840</v>
      </c>
      <c r="B368" s="3">
        <v>8.9795660100691049E-3</v>
      </c>
      <c r="C368" s="3">
        <v>-1.7870817250152798E-3</v>
      </c>
      <c r="D368" s="3">
        <v>9.8457094385138218E-4</v>
      </c>
      <c r="E368" s="3">
        <v>1.6470389489236679E-3</v>
      </c>
      <c r="F368" s="3">
        <v>-2.9635790276025266E-3</v>
      </c>
      <c r="G368" s="3">
        <v>3.7986522905382515E-3</v>
      </c>
      <c r="H368" s="3">
        <v>1.0783923865493329E-4</v>
      </c>
      <c r="I368" s="3">
        <v>-5.855900637121594E-3</v>
      </c>
      <c r="J368" s="3">
        <v>-3.4219984200392749E-3</v>
      </c>
      <c r="K368" s="3">
        <v>9.8457094385138218E-4</v>
      </c>
      <c r="L368" s="3">
        <v>2.2500824411870925E-2</v>
      </c>
      <c r="M368" s="3">
        <v>1.9171099928109963E-3</v>
      </c>
      <c r="N368" s="3">
        <v>-1.0633453407580491E-2</v>
      </c>
      <c r="O368" s="3">
        <v>-1.7870817250152798E-3</v>
      </c>
      <c r="P368" s="3">
        <v>3.0911385883565816E-3</v>
      </c>
      <c r="Q368" s="3">
        <v>1.2573336609321174E-2</v>
      </c>
      <c r="R368" s="3">
        <v>2.5052328340310032E-2</v>
      </c>
      <c r="S368" s="3">
        <v>-2.7253452101761381E-2</v>
      </c>
      <c r="T368" s="3">
        <v>4.3548293074616457E-3</v>
      </c>
      <c r="U368" s="3">
        <v>-9.3691705405309841E-3</v>
      </c>
      <c r="V368" s="3">
        <v>0</v>
      </c>
      <c r="W368" s="3">
        <v>-2.2109960098771083E-2</v>
      </c>
      <c r="X368" s="3">
        <v>3.0638612033960941E-2</v>
      </c>
      <c r="Y368" s="3">
        <v>-4.4423219967771151E-4</v>
      </c>
      <c r="Z368" s="3">
        <v>-2.5559105431309927E-2</v>
      </c>
      <c r="AA368" s="3">
        <v>3.7750747074014948E-2</v>
      </c>
      <c r="AB368" s="3">
        <v>2.4991381022180539E-2</v>
      </c>
      <c r="AC368" s="3">
        <v>1.5053526311403598E-2</v>
      </c>
      <c r="AD368" s="3">
        <v>1.7471698734042522E-2</v>
      </c>
      <c r="AE368" s="3">
        <v>1.2603818781859623E-2</v>
      </c>
      <c r="AF368" s="3">
        <v>3.3212418741296684E-2</v>
      </c>
      <c r="AG368" s="3">
        <v>1.5398550724637836E-2</v>
      </c>
      <c r="AH368" s="3">
        <v>2.3947099247212694E-2</v>
      </c>
      <c r="AI368" s="3">
        <v>2.2780640006847014E-2</v>
      </c>
      <c r="AJ368" s="3">
        <v>1.2996675985895139E-2</v>
      </c>
      <c r="AK368" s="3">
        <v>6.4516129032258118E-2</v>
      </c>
      <c r="AL368" s="3">
        <v>-2.0385992372129865E-3</v>
      </c>
      <c r="AM368" s="3">
        <v>1.6789364154678049E-2</v>
      </c>
      <c r="AN368" s="3">
        <v>1.5941152744825316E-2</v>
      </c>
    </row>
    <row r="369" spans="1:40" x14ac:dyDescent="0.3">
      <c r="A369" s="101">
        <v>44841</v>
      </c>
      <c r="B369" s="3">
        <v>-5.6634477471029518E-3</v>
      </c>
      <c r="C369" s="3">
        <v>2.4100739993623689E-3</v>
      </c>
      <c r="D369" s="3">
        <v>-2.0605652151339197E-3</v>
      </c>
      <c r="E369" s="3">
        <v>8.7694611295179824E-3</v>
      </c>
      <c r="F369" s="3">
        <v>-1.571125251301388E-2</v>
      </c>
      <c r="G369" s="3">
        <v>1.2659359315856412E-2</v>
      </c>
      <c r="H369" s="3">
        <v>1.5365434511575024E-3</v>
      </c>
      <c r="I369" s="3">
        <v>2.2655188038060714E-2</v>
      </c>
      <c r="J369" s="3">
        <v>-3.6882113580928928E-3</v>
      </c>
      <c r="K369" s="3">
        <v>-2.0605652151339197E-3</v>
      </c>
      <c r="L369" s="3">
        <v>1.6470389489236679E-3</v>
      </c>
      <c r="M369" s="3">
        <v>-2.4635301969976112E-2</v>
      </c>
      <c r="N369" s="3">
        <v>1.0288437191552924E-2</v>
      </c>
      <c r="O369" s="3">
        <v>2.4100739993623689E-3</v>
      </c>
      <c r="P369" s="3">
        <v>-4.1088856758545204E-3</v>
      </c>
      <c r="Q369" s="3">
        <v>-2.8145629583171936E-2</v>
      </c>
      <c r="R369" s="3">
        <v>-3.4863988367232861E-2</v>
      </c>
      <c r="S369" s="3">
        <v>1.6433740963774202E-2</v>
      </c>
      <c r="T369" s="3">
        <v>-2.282068511360217E-2</v>
      </c>
      <c r="U369" s="3">
        <v>1.8757883251806325E-2</v>
      </c>
      <c r="V369" s="3">
        <v>-1.5083464828224674E-3</v>
      </c>
      <c r="W369" s="3">
        <v>3.5529839813476391E-2</v>
      </c>
      <c r="X369" s="3">
        <v>-1.504297994269347E-2</v>
      </c>
      <c r="Y369" s="3">
        <v>1.0222259259259342E-2</v>
      </c>
      <c r="Z369" s="3">
        <v>0</v>
      </c>
      <c r="AA369" s="3">
        <v>3.431629626148492E-2</v>
      </c>
      <c r="AB369" s="3">
        <v>-1.8155715625743089E-2</v>
      </c>
      <c r="AC369" s="3">
        <v>2.0983193636307192E-2</v>
      </c>
      <c r="AD369" s="3">
        <v>-4.0403607423646331E-3</v>
      </c>
      <c r="AE369" s="3">
        <v>-4.8852021767232523E-2</v>
      </c>
      <c r="AF369" s="3">
        <v>-2.1609928349533111E-2</v>
      </c>
      <c r="AG369" s="3">
        <v>-2.2301070472793591E-3</v>
      </c>
      <c r="AH369" s="3">
        <v>5.3226166423906976E-3</v>
      </c>
      <c r="AI369" s="3">
        <v>-1.1830812658660379E-2</v>
      </c>
      <c r="AJ369" s="3">
        <v>1.7207889060243915E-2</v>
      </c>
      <c r="AK369" s="3">
        <v>-2.1645021645021759E-2</v>
      </c>
      <c r="AL369" s="3">
        <v>1.4654825731440327E-2</v>
      </c>
      <c r="AM369" s="3">
        <v>2.4122854817111822E-2</v>
      </c>
      <c r="AN369" s="3">
        <v>-2.1511240862263342E-2</v>
      </c>
    </row>
    <row r="370" spans="1:40" x14ac:dyDescent="0.3">
      <c r="A370" s="101">
        <v>44844</v>
      </c>
      <c r="B370" s="3">
        <v>1.0781142811217545E-2</v>
      </c>
      <c r="C370" s="3">
        <v>2.1294110465368547E-2</v>
      </c>
      <c r="D370" s="3">
        <v>6.4867440920884207E-4</v>
      </c>
      <c r="E370" s="3">
        <v>-1.2043915178670653E-2</v>
      </c>
      <c r="F370" s="3">
        <v>1.4236380889798096E-2</v>
      </c>
      <c r="G370" s="3">
        <v>-4.1373801233979025E-2</v>
      </c>
      <c r="H370" s="3">
        <v>2.540154629810369E-3</v>
      </c>
      <c r="I370" s="3">
        <v>-8.8612760301285693E-3</v>
      </c>
      <c r="J370" s="3">
        <v>4.9784304860786745E-3</v>
      </c>
      <c r="K370" s="3">
        <v>6.4867440920884207E-4</v>
      </c>
      <c r="L370" s="3">
        <v>8.7694611295179824E-3</v>
      </c>
      <c r="M370" s="3">
        <v>1.7900907746466757E-2</v>
      </c>
      <c r="N370" s="3">
        <v>-2.791418490272795E-2</v>
      </c>
      <c r="O370" s="3">
        <v>2.1294110465368547E-2</v>
      </c>
      <c r="P370" s="3">
        <v>1.0315111413879187E-3</v>
      </c>
      <c r="Q370" s="3">
        <v>2.6405447232295515E-2</v>
      </c>
      <c r="R370" s="3">
        <v>-2.1747034848238467E-2</v>
      </c>
      <c r="S370" s="3">
        <v>-3.1341885212236915E-2</v>
      </c>
      <c r="T370" s="3">
        <v>2.3120102446841175E-2</v>
      </c>
      <c r="U370" s="3">
        <v>-2.6767697329722135E-2</v>
      </c>
      <c r="V370" s="3">
        <v>-2.5679751610232344E-2</v>
      </c>
      <c r="W370" s="3">
        <v>-2.7448596982113421E-2</v>
      </c>
      <c r="X370" s="3">
        <v>0</v>
      </c>
      <c r="Y370" s="3">
        <v>-1.6644698025931295E-2</v>
      </c>
      <c r="Z370" s="3">
        <v>-1.4754098360655716E-2</v>
      </c>
      <c r="AA370" s="3">
        <v>8.4910225568108358E-2</v>
      </c>
      <c r="AB370" s="3">
        <v>-5.607258959202866E-3</v>
      </c>
      <c r="AC370" s="3">
        <v>1.9810253921340785E-2</v>
      </c>
      <c r="AD370" s="3">
        <v>2.8059415029723474E-2</v>
      </c>
      <c r="AE370" s="3">
        <v>4.2046596432533979E-2</v>
      </c>
      <c r="AF370" s="3">
        <v>2.8437273268022409E-2</v>
      </c>
      <c r="AG370" s="3">
        <v>3.1291907407603732E-3</v>
      </c>
      <c r="AH370" s="3">
        <v>-4.0911185079053683E-3</v>
      </c>
      <c r="AI370" s="3">
        <v>1.1605925259027211E-2</v>
      </c>
      <c r="AJ370" s="3">
        <v>-5.7386790411483746E-3</v>
      </c>
      <c r="AK370" s="3">
        <v>-1.3274336283185756E-2</v>
      </c>
      <c r="AL370" s="3">
        <v>-3.0326269974700847E-2</v>
      </c>
      <c r="AM370" s="3">
        <v>-1.3240449981140139E-2</v>
      </c>
      <c r="AN370" s="3">
        <v>-1.6107103206633666E-2</v>
      </c>
    </row>
    <row r="371" spans="1:40" x14ac:dyDescent="0.3">
      <c r="A371" s="101">
        <v>44845</v>
      </c>
      <c r="B371" s="3">
        <v>-1.4892293675674739E-2</v>
      </c>
      <c r="C371" s="3">
        <v>8.945333718130128E-3</v>
      </c>
      <c r="D371" s="3">
        <v>-1.5771375277511528E-3</v>
      </c>
      <c r="E371" s="3">
        <v>-9.1652734673380583E-4</v>
      </c>
      <c r="F371" s="3">
        <v>-3.1475968311616496E-2</v>
      </c>
      <c r="G371" s="3">
        <v>-6.8683684215401592E-3</v>
      </c>
      <c r="H371" s="3">
        <v>2.0135511995714149E-5</v>
      </c>
      <c r="I371" s="3">
        <v>1.2963745508996699E-2</v>
      </c>
      <c r="J371" s="3">
        <v>4.699512048660961E-3</v>
      </c>
      <c r="K371" s="3">
        <v>-1.5771375277511528E-3</v>
      </c>
      <c r="L371" s="3">
        <v>-1.2043915178670653E-2</v>
      </c>
      <c r="M371" s="3">
        <v>3.5413203344408589E-2</v>
      </c>
      <c r="N371" s="3">
        <v>1.9829768081777045E-2</v>
      </c>
      <c r="O371" s="3">
        <v>8.945333718130128E-3</v>
      </c>
      <c r="P371" s="3">
        <v>-1.2364760432766535E-2</v>
      </c>
      <c r="Q371" s="3">
        <v>-4.7302934237618277E-2</v>
      </c>
      <c r="R371" s="3">
        <v>7.0868451678819189E-3</v>
      </c>
      <c r="S371" s="3">
        <v>-5.7648456465541676E-4</v>
      </c>
      <c r="T371" s="3">
        <v>-1.6206351745768802E-2</v>
      </c>
      <c r="U371" s="3">
        <v>2.7026729383431043E-3</v>
      </c>
      <c r="V371" s="3">
        <v>1.2403135147268355E-2</v>
      </c>
      <c r="W371" s="3">
        <v>5.5805007058215568E-2</v>
      </c>
      <c r="X371" s="3">
        <v>0</v>
      </c>
      <c r="Y371" s="3">
        <v>1.5285981542867748E-2</v>
      </c>
      <c r="Z371" s="3">
        <v>2.4958402662229678E-2</v>
      </c>
      <c r="AA371" s="3">
        <v>-3.0274995832209523E-2</v>
      </c>
      <c r="AB371" s="3">
        <v>7.1159632173374374E-3</v>
      </c>
      <c r="AC371" s="3">
        <v>-5.7579972624462201E-3</v>
      </c>
      <c r="AD371" s="3">
        <v>-4.6036827026866177E-3</v>
      </c>
      <c r="AE371" s="3">
        <v>-1.3565394014964798E-2</v>
      </c>
      <c r="AF371" s="3">
        <v>3.2213850470930176E-3</v>
      </c>
      <c r="AG371" s="3">
        <v>1.1586452246593108E-2</v>
      </c>
      <c r="AH371" s="3">
        <v>1.8123344955343242E-2</v>
      </c>
      <c r="AI371" s="3">
        <v>-1.3888870504932763E-3</v>
      </c>
      <c r="AJ371" s="3">
        <v>9.0182617437669435E-3</v>
      </c>
      <c r="AK371" s="3">
        <v>0</v>
      </c>
      <c r="AL371" s="3">
        <v>1.4529782651525653E-2</v>
      </c>
      <c r="AM371" s="3">
        <v>-5.0648326938975159E-3</v>
      </c>
      <c r="AN371" s="3">
        <v>-1.6154075468818175E-3</v>
      </c>
    </row>
    <row r="372" spans="1:40" x14ac:dyDescent="0.3">
      <c r="A372" s="101">
        <v>44846</v>
      </c>
      <c r="B372" s="3">
        <v>-1.225750152978511E-3</v>
      </c>
      <c r="C372" s="3">
        <v>-2.6762881900962475E-3</v>
      </c>
      <c r="D372" s="3">
        <v>-4.6827646862266129E-4</v>
      </c>
      <c r="E372" s="3">
        <v>9.1284752189869662E-3</v>
      </c>
      <c r="F372" s="3">
        <v>-2.4154596856901408E-2</v>
      </c>
      <c r="G372" s="3">
        <v>4.8597803738318207E-3</v>
      </c>
      <c r="H372" s="3">
        <v>-1.3792547997059723E-3</v>
      </c>
      <c r="I372" s="3">
        <v>0</v>
      </c>
      <c r="J372" s="3">
        <v>-3.9190531936672589E-3</v>
      </c>
      <c r="K372" s="3">
        <v>-4.6827646862266129E-4</v>
      </c>
      <c r="L372" s="3">
        <v>-9.1652734673380583E-4</v>
      </c>
      <c r="M372" s="3">
        <v>-4.6533503955328136E-3</v>
      </c>
      <c r="N372" s="3">
        <v>2.6597691082202758E-3</v>
      </c>
      <c r="O372" s="3">
        <v>-2.6762881900962475E-3</v>
      </c>
      <c r="P372" s="3">
        <v>6.7813771517995806E-3</v>
      </c>
      <c r="Q372" s="3">
        <v>-5.4878055766392458E-2</v>
      </c>
      <c r="R372" s="3">
        <v>-3.6296489173775898E-3</v>
      </c>
      <c r="S372" s="3">
        <v>0</v>
      </c>
      <c r="T372" s="3">
        <v>3.5962913705894689E-2</v>
      </c>
      <c r="U372" s="3">
        <v>2.3783525440824412E-3</v>
      </c>
      <c r="V372" s="3">
        <v>2.7565064737584719E-2</v>
      </c>
      <c r="W372" s="3">
        <v>2.6731533202507211E-2</v>
      </c>
      <c r="X372" s="3">
        <v>1.4181781818181801E-2</v>
      </c>
      <c r="Y372" s="3">
        <v>-1.3954237251638029E-2</v>
      </c>
      <c r="Z372" s="3">
        <v>-8.1168831168830884E-3</v>
      </c>
      <c r="AA372" s="3">
        <v>3.5716739029808646E-2</v>
      </c>
      <c r="AB372" s="3">
        <v>9.7987187824057458E-3</v>
      </c>
      <c r="AC372" s="3">
        <v>1.0790076018870363E-2</v>
      </c>
      <c r="AD372" s="3">
        <v>3.3034805007166356E-4</v>
      </c>
      <c r="AE372" s="3">
        <v>7.9767715391752456E-4</v>
      </c>
      <c r="AF372" s="3">
        <v>4.816689402675523E-3</v>
      </c>
      <c r="AG372" s="3">
        <v>5.2862993265947421E-3</v>
      </c>
      <c r="AH372" s="3">
        <v>0</v>
      </c>
      <c r="AI372" s="3">
        <v>2.841948948402219E-2</v>
      </c>
      <c r="AJ372" s="3">
        <v>2.7825849147331969E-2</v>
      </c>
      <c r="AK372" s="3">
        <v>2.6905829596412582E-2</v>
      </c>
      <c r="AL372" s="3">
        <v>6.3551822978666506E-3</v>
      </c>
      <c r="AM372" s="3">
        <v>1.5596422493502161E-2</v>
      </c>
      <c r="AN372" s="3">
        <v>2.1507811120811612E-2</v>
      </c>
    </row>
    <row r="373" spans="1:40" x14ac:dyDescent="0.3">
      <c r="A373" s="101">
        <v>44847</v>
      </c>
      <c r="B373" s="3">
        <v>1.5136041817786145E-2</v>
      </c>
      <c r="C373" s="3">
        <v>3.1532494385722227E-3</v>
      </c>
      <c r="D373" s="3">
        <v>1.8614154270194704E-5</v>
      </c>
      <c r="E373" s="3">
        <v>8.3640030971800575E-3</v>
      </c>
      <c r="F373" s="3">
        <v>3.6004220622691098E-3</v>
      </c>
      <c r="G373" s="3">
        <v>-1.6555046111817951E-2</v>
      </c>
      <c r="H373" s="3">
        <v>1.1795306073070079E-3</v>
      </c>
      <c r="I373" s="3">
        <v>-2.6478375992938534E-3</v>
      </c>
      <c r="J373" s="3">
        <v>8.249786112349498E-3</v>
      </c>
      <c r="K373" s="3">
        <v>1.8614154270194704E-5</v>
      </c>
      <c r="L373" s="3">
        <v>9.1284752189869662E-3</v>
      </c>
      <c r="M373" s="3">
        <v>1.870079520104719E-3</v>
      </c>
      <c r="N373" s="3">
        <v>-4.848153585825409E-3</v>
      </c>
      <c r="O373" s="3">
        <v>3.1532494385722227E-3</v>
      </c>
      <c r="P373" s="3">
        <v>-1.5543524121426177E-3</v>
      </c>
      <c r="Q373" s="3">
        <v>-2.3041497534201191E-2</v>
      </c>
      <c r="R373" s="3">
        <v>-1.4422682855858099E-2</v>
      </c>
      <c r="S373" s="3">
        <v>0</v>
      </c>
      <c r="T373" s="3">
        <v>6.315788568806506E-2</v>
      </c>
      <c r="U373" s="3">
        <v>8.3833738163724813E-3</v>
      </c>
      <c r="V373" s="3">
        <v>5.961268301555551E-3</v>
      </c>
      <c r="W373" s="3">
        <v>-3.1952583074788141E-2</v>
      </c>
      <c r="X373" s="3">
        <v>3.9441019700287711E-3</v>
      </c>
      <c r="Y373" s="3">
        <v>-9.6081785195955595E-3</v>
      </c>
      <c r="Z373" s="3">
        <v>0</v>
      </c>
      <c r="AA373" s="3">
        <v>1.3222297627679045E-2</v>
      </c>
      <c r="AB373" s="3">
        <v>-3.4984605961157289E-3</v>
      </c>
      <c r="AC373" s="3">
        <v>1.2755596959706818E-2</v>
      </c>
      <c r="AD373" s="3">
        <v>1.5191501407098481E-2</v>
      </c>
      <c r="AE373" s="3">
        <v>-7.7376741345702493E-2</v>
      </c>
      <c r="AF373" s="3">
        <v>-4.3941306160477277E-2</v>
      </c>
      <c r="AG373" s="3">
        <v>1.4022743207712501E-2</v>
      </c>
      <c r="AH373" s="3">
        <v>1.2658166057565428E-2</v>
      </c>
      <c r="AI373" s="3">
        <v>-1.9402661763644866E-3</v>
      </c>
      <c r="AJ373" s="3">
        <v>1.7043417127712988E-2</v>
      </c>
      <c r="AK373" s="3">
        <v>-3.4934497816593919E-2</v>
      </c>
      <c r="AL373" s="3">
        <v>1.2896015329873238E-2</v>
      </c>
      <c r="AM373" s="3">
        <v>-2.8897637094463097E-2</v>
      </c>
      <c r="AN373" s="3">
        <v>2.7482323182310763E-2</v>
      </c>
    </row>
    <row r="374" spans="1:40" x14ac:dyDescent="0.3">
      <c r="A374" s="101">
        <v>44848</v>
      </c>
      <c r="B374" s="3">
        <v>3.6268384447450591E-2</v>
      </c>
      <c r="C374" s="3">
        <v>8.1587520788056114E-3</v>
      </c>
      <c r="D374" s="3">
        <v>1.5430352808013578E-3</v>
      </c>
      <c r="E374" s="3">
        <v>1.6363890049244153E-2</v>
      </c>
      <c r="F374" s="3">
        <v>-1.8834096690276522E-2</v>
      </c>
      <c r="G374" s="3">
        <v>-1.2530707632508147E-2</v>
      </c>
      <c r="H374" s="3">
        <v>-2.7422825054460431E-3</v>
      </c>
      <c r="I374" s="3">
        <v>2.2566415929203495E-2</v>
      </c>
      <c r="J374" s="3">
        <v>4.2799013031858705E-3</v>
      </c>
      <c r="K374" s="3">
        <v>1.5430352808013578E-3</v>
      </c>
      <c r="L374" s="3">
        <v>8.3640030971800575E-3</v>
      </c>
      <c r="M374" s="3">
        <v>-2.6131567285777712E-2</v>
      </c>
      <c r="N374" s="3">
        <v>-1.562526274752241E-3</v>
      </c>
      <c r="O374" s="3">
        <v>8.1587520788056114E-3</v>
      </c>
      <c r="P374" s="3">
        <v>2.5947067981318479E-3</v>
      </c>
      <c r="Q374" s="3">
        <v>2.830198607831886E-2</v>
      </c>
      <c r="R374" s="3">
        <v>-8.8255904633605352E-3</v>
      </c>
      <c r="S374" s="3">
        <v>-1.2645539601199371E-2</v>
      </c>
      <c r="T374" s="3">
        <v>2.1063156829931732E-4</v>
      </c>
      <c r="U374" s="3">
        <v>1.6627370168759203E-2</v>
      </c>
      <c r="V374" s="3">
        <v>-1.4814702443017682E-3</v>
      </c>
      <c r="W374" s="3">
        <v>1.0085506357394466E-2</v>
      </c>
      <c r="X374" s="3">
        <v>0</v>
      </c>
      <c r="Y374" s="3">
        <v>2.0305632696806563E-3</v>
      </c>
      <c r="Z374" s="3">
        <v>-8.1833060556465963E-3</v>
      </c>
      <c r="AA374" s="3">
        <v>-6.3581700944992702E-3</v>
      </c>
      <c r="AB374" s="3">
        <v>3.5822186633959999E-3</v>
      </c>
      <c r="AC374" s="3">
        <v>1.5721300895257317E-2</v>
      </c>
      <c r="AD374" s="3">
        <v>-3.3832113457669732E-2</v>
      </c>
      <c r="AE374" s="3">
        <v>-3.7216280596274159E-2</v>
      </c>
      <c r="AF374" s="3">
        <v>1.225633328752905E-2</v>
      </c>
      <c r="AG374" s="3">
        <v>-8.6421784201464618E-4</v>
      </c>
      <c r="AH374" s="3">
        <v>1.5624529563131673E-3</v>
      </c>
      <c r="AI374" s="3">
        <v>1.5139883560106301E-2</v>
      </c>
      <c r="AJ374" s="3">
        <v>1.1798839663289063E-2</v>
      </c>
      <c r="AK374" s="3">
        <v>4.5248868778281588E-3</v>
      </c>
      <c r="AL374" s="3">
        <v>3.7529374827850884E-3</v>
      </c>
      <c r="AM374" s="3">
        <v>-3.3931855454272158E-2</v>
      </c>
      <c r="AN374" s="3">
        <v>1.2076427538345797E-2</v>
      </c>
    </row>
    <row r="375" spans="1:40" x14ac:dyDescent="0.3">
      <c r="A375" s="101">
        <v>44851</v>
      </c>
      <c r="B375" s="3">
        <v>-8.5552930724274619E-3</v>
      </c>
      <c r="C375" s="3">
        <v>-3.3175166584664049E-4</v>
      </c>
      <c r="D375" s="3">
        <v>7.0486031631801515E-4</v>
      </c>
      <c r="E375" s="3">
        <v>-2.3950992057444782E-3</v>
      </c>
      <c r="F375" s="3">
        <v>8.0438707135456936E-2</v>
      </c>
      <c r="G375" s="3">
        <v>-1.2785509622319597E-2</v>
      </c>
      <c r="H375" s="3">
        <v>-2.029551344619831E-3</v>
      </c>
      <c r="I375" s="3">
        <v>2.5530072456509189E-2</v>
      </c>
      <c r="J375" s="3">
        <v>3.1335476896866155E-3</v>
      </c>
      <c r="K375" s="3">
        <v>7.0486031631801515E-4</v>
      </c>
      <c r="L375" s="3">
        <v>1.6363890049244153E-2</v>
      </c>
      <c r="M375" s="3">
        <v>-4.3603352007505834E-2</v>
      </c>
      <c r="N375" s="3">
        <v>3.6549313195437569E-2</v>
      </c>
      <c r="O375" s="3">
        <v>-3.3175166584664049E-4</v>
      </c>
      <c r="P375" s="3">
        <v>1.2422308488612886E-2</v>
      </c>
      <c r="Q375" s="3">
        <v>6.4220174912178296E-2</v>
      </c>
      <c r="R375" s="3">
        <v>0</v>
      </c>
      <c r="S375" s="3">
        <v>0</v>
      </c>
      <c r="T375" s="3">
        <v>1.1794415569217476E-2</v>
      </c>
      <c r="U375" s="3">
        <v>-1.851424783839861E-3</v>
      </c>
      <c r="V375" s="3">
        <v>-1.1869468573844336E-2</v>
      </c>
      <c r="W375" s="3">
        <v>2.269287448430175E-2</v>
      </c>
      <c r="X375" s="3">
        <v>-2.6428571428571374E-2</v>
      </c>
      <c r="Y375" s="3">
        <v>3.9026567133497712E-3</v>
      </c>
      <c r="Z375" s="3">
        <v>8.250825082508368E-3</v>
      </c>
      <c r="AA375" s="3">
        <v>-4.8400710047199119E-2</v>
      </c>
      <c r="AB375" s="3">
        <v>-5.5527508530484812E-3</v>
      </c>
      <c r="AC375" s="3">
        <v>-7.3579279547689325E-3</v>
      </c>
      <c r="AD375" s="3">
        <v>-5.0505288329500036E-3</v>
      </c>
      <c r="AE375" s="3">
        <v>-5.2041562917982034E-3</v>
      </c>
      <c r="AF375" s="3">
        <v>-1.37590628465837E-2</v>
      </c>
      <c r="AG375" s="3">
        <v>1.7300604788036849E-3</v>
      </c>
      <c r="AH375" s="3">
        <v>0</v>
      </c>
      <c r="AI375" s="3">
        <v>-1.1490261510979247E-2</v>
      </c>
      <c r="AJ375" s="3">
        <v>-3.1885459579140255E-2</v>
      </c>
      <c r="AK375" s="3">
        <v>2.2522522522522442E-2</v>
      </c>
      <c r="AL375" s="3">
        <v>7.4043997441279586E-4</v>
      </c>
      <c r="AM375" s="3">
        <v>8.8738791695201092E-3</v>
      </c>
      <c r="AN375" s="3">
        <v>-8.527947278597672E-3</v>
      </c>
    </row>
    <row r="376" spans="1:40" x14ac:dyDescent="0.3">
      <c r="A376" s="101">
        <v>44852</v>
      </c>
      <c r="B376" s="3">
        <v>-2.3141807684972787E-2</v>
      </c>
      <c r="C376" s="3">
        <v>-1.0616974060659997E-2</v>
      </c>
      <c r="D376" s="3">
        <v>-2.6989149884894845E-3</v>
      </c>
      <c r="E376" s="3">
        <v>3.0677259068930063E-3</v>
      </c>
      <c r="F376" s="3">
        <v>-2.5380650982342618E-2</v>
      </c>
      <c r="G376" s="3">
        <v>-3.5894741251556923E-3</v>
      </c>
      <c r="H376" s="3">
        <v>1.9156377421106104E-3</v>
      </c>
      <c r="I376" s="3">
        <v>1.2236244209441093E-2</v>
      </c>
      <c r="J376" s="3">
        <v>-2.3366126386456972E-2</v>
      </c>
      <c r="K376" s="3">
        <v>-2.6989149884894845E-3</v>
      </c>
      <c r="L376" s="3">
        <v>-2.3950992057444782E-3</v>
      </c>
      <c r="M376" s="3">
        <v>-3.0561048625303022E-2</v>
      </c>
      <c r="N376" s="3">
        <v>-1.3322464639947361E-3</v>
      </c>
      <c r="O376" s="3">
        <v>-1.0616974060659997E-2</v>
      </c>
      <c r="P376" s="3">
        <v>-6.6461659839553936E-3</v>
      </c>
      <c r="Q376" s="3">
        <v>1.2068942814851749E-2</v>
      </c>
      <c r="R376" s="3">
        <v>-1.6057847245044259E-2</v>
      </c>
      <c r="S376" s="3">
        <v>6.9535838948799568E-3</v>
      </c>
      <c r="T376" s="3">
        <v>-1.4154875282555258E-2</v>
      </c>
      <c r="U376" s="3">
        <v>1.2366585877172837E-2</v>
      </c>
      <c r="V376" s="3">
        <v>2.1021048023321904E-2</v>
      </c>
      <c r="W376" s="3">
        <v>-1.0650931130975363E-2</v>
      </c>
      <c r="X376" s="3">
        <v>-7.3367938371240024E-3</v>
      </c>
      <c r="Y376" s="3">
        <v>7.3266300585611783E-3</v>
      </c>
      <c r="Z376" s="3">
        <v>1.6366612111292612E-3</v>
      </c>
      <c r="AA376" s="3">
        <v>-0.11990303272748117</v>
      </c>
      <c r="AB376" s="3">
        <v>2.4595138326078837E-3</v>
      </c>
      <c r="AC376" s="3">
        <v>-9.5977793632653022E-3</v>
      </c>
      <c r="AD376" s="3">
        <v>-6.768186741777522E-3</v>
      </c>
      <c r="AE376" s="3">
        <v>9.380437558373339E-3</v>
      </c>
      <c r="AF376" s="3">
        <v>-9.4865307630997778E-3</v>
      </c>
      <c r="AG376" s="3">
        <v>-1.8134715025906811E-2</v>
      </c>
      <c r="AH376" s="3">
        <v>0</v>
      </c>
      <c r="AI376" s="3">
        <v>7.866572402171668E-3</v>
      </c>
      <c r="AJ376" s="3">
        <v>1.1463587889437511E-2</v>
      </c>
      <c r="AK376" s="3">
        <v>2.2026431718061595E-2</v>
      </c>
      <c r="AL376" s="3">
        <v>-6.8962145884304653E-4</v>
      </c>
      <c r="AM376" s="3">
        <v>6.9690351007315951E-3</v>
      </c>
      <c r="AN376" s="3">
        <v>2.5007239221570873E-2</v>
      </c>
    </row>
    <row r="377" spans="1:40" x14ac:dyDescent="0.3">
      <c r="A377" s="101">
        <v>44853</v>
      </c>
      <c r="B377" s="3">
        <v>2.0072724697675959E-4</v>
      </c>
      <c r="C377" s="3">
        <v>6.7739420430047723E-3</v>
      </c>
      <c r="D377" s="3">
        <v>4.0497873416631674E-3</v>
      </c>
      <c r="E377" s="3">
        <v>4.3436999868841373E-3</v>
      </c>
      <c r="F377" s="3">
        <v>-1.2152816414523298E-2</v>
      </c>
      <c r="G377" s="3">
        <v>-1.6551260992612078E-3</v>
      </c>
      <c r="H377" s="3">
        <v>-4.3558024067996137E-3</v>
      </c>
      <c r="I377" s="3">
        <v>-4.5852855356397215E-3</v>
      </c>
      <c r="J377" s="3">
        <v>1.0363386945487529E-2</v>
      </c>
      <c r="K377" s="3">
        <v>4.0497873416631674E-3</v>
      </c>
      <c r="L377" s="3">
        <v>3.0677259068930063E-3</v>
      </c>
      <c r="M377" s="3">
        <v>-1.7312712730937752E-2</v>
      </c>
      <c r="N377" s="3">
        <v>-2.9437825496355648E-2</v>
      </c>
      <c r="O377" s="3">
        <v>6.7739420430047723E-3</v>
      </c>
      <c r="P377" s="3">
        <v>-1.3381369016983943E-2</v>
      </c>
      <c r="Q377" s="3">
        <v>3.3219759572181887E-2</v>
      </c>
      <c r="R377" s="3">
        <v>-6.7290223982266698E-3</v>
      </c>
      <c r="S377" s="3">
        <v>0</v>
      </c>
      <c r="T377" s="3">
        <v>-1.1190874019212782E-2</v>
      </c>
      <c r="U377" s="3">
        <v>-4.3212661407149612E-2</v>
      </c>
      <c r="V377" s="3">
        <v>2.7941146547834601E-2</v>
      </c>
      <c r="W377" s="3">
        <v>7.7751989965547464E-3</v>
      </c>
      <c r="X377" s="3">
        <v>1.4782336096908271E-3</v>
      </c>
      <c r="Y377" s="3">
        <v>1.7292577657244464E-2</v>
      </c>
      <c r="Z377" s="3">
        <v>2.9411764705882307E-2</v>
      </c>
      <c r="AA377" s="3">
        <v>4.3429452261595038E-2</v>
      </c>
      <c r="AB377" s="3">
        <v>-1.9163247425276659E-2</v>
      </c>
      <c r="AC377" s="3">
        <v>-2.3049110281914195E-2</v>
      </c>
      <c r="AD377" s="3">
        <v>-2.2146472270625352E-2</v>
      </c>
      <c r="AE377" s="3">
        <v>-1.8479405237421666E-2</v>
      </c>
      <c r="AF377" s="3">
        <v>-3.0986754218907129E-3</v>
      </c>
      <c r="AG377" s="3">
        <v>-1.0554089709762465E-2</v>
      </c>
      <c r="AH377" s="3">
        <v>-9.3604086338004554E-3</v>
      </c>
      <c r="AI377" s="3">
        <v>-5.6034448579442078E-2</v>
      </c>
      <c r="AJ377" s="3">
        <v>-3.1987293525039651E-2</v>
      </c>
      <c r="AK377" s="3">
        <v>-3.017241379310338E-2</v>
      </c>
      <c r="AL377" s="3">
        <v>-1.757135188724341E-2</v>
      </c>
      <c r="AM377" s="3">
        <v>-1.3841700541802471E-2</v>
      </c>
      <c r="AN377" s="3">
        <v>-2.6334996263355413E-2</v>
      </c>
    </row>
    <row r="378" spans="1:40" x14ac:dyDescent="0.3">
      <c r="A378" s="101">
        <v>44854</v>
      </c>
      <c r="B378" s="3">
        <v>2.2079422632111725E-3</v>
      </c>
      <c r="C378" s="3">
        <v>8.9267801441536825E-3</v>
      </c>
      <c r="D378" s="3">
        <v>-1.1825968819802908E-3</v>
      </c>
      <c r="E378" s="3">
        <v>-4.3690397309574325E-3</v>
      </c>
      <c r="F378" s="3">
        <v>1.0984178169292487E-2</v>
      </c>
      <c r="G378" s="3">
        <v>5.6368231359779197E-2</v>
      </c>
      <c r="H378" s="3">
        <v>5.3857414776473135E-3</v>
      </c>
      <c r="I378" s="3">
        <v>-3.8944641496844332E-2</v>
      </c>
      <c r="J378" s="3">
        <v>-2.152686806397667E-3</v>
      </c>
      <c r="K378" s="3">
        <v>-1.1825968819802908E-3</v>
      </c>
      <c r="L378" s="3">
        <v>4.3436999868841373E-3</v>
      </c>
      <c r="M378" s="3">
        <v>2.6558033830082407E-2</v>
      </c>
      <c r="N378" s="3">
        <v>-6.1395252220420487E-3</v>
      </c>
      <c r="O378" s="3">
        <v>8.9267801441536825E-3</v>
      </c>
      <c r="P378" s="3">
        <v>-6.7813771517997662E-3</v>
      </c>
      <c r="Q378" s="3">
        <v>-2.3083323922920094E-2</v>
      </c>
      <c r="R378" s="3">
        <v>-5.7545567874583516E-2</v>
      </c>
      <c r="S378" s="3">
        <v>-1.361291981744019E-2</v>
      </c>
      <c r="T378" s="3">
        <v>-1.7083099562816419E-2</v>
      </c>
      <c r="U378" s="3">
        <v>-4.7877163486615528E-3</v>
      </c>
      <c r="V378" s="3">
        <v>-2.0028578992060404E-2</v>
      </c>
      <c r="W378" s="3">
        <v>1.246281791805086E-2</v>
      </c>
      <c r="X378" s="3">
        <v>1.8450184501843968E-3</v>
      </c>
      <c r="Y378" s="3">
        <v>6.2740640262752166E-3</v>
      </c>
      <c r="Z378" s="3">
        <v>1.5873015873015535E-3</v>
      </c>
      <c r="AA378" s="3">
        <v>-4.1575288677064975E-3</v>
      </c>
      <c r="AB378" s="3">
        <v>-3.379786963151606E-4</v>
      </c>
      <c r="AC378" s="3">
        <v>3.051367214714972E-4</v>
      </c>
      <c r="AD378" s="3">
        <v>-1.7421684561736055E-3</v>
      </c>
      <c r="AE378" s="3">
        <v>-1.0233055129649232E-2</v>
      </c>
      <c r="AF378" s="3">
        <v>5.9338389510413102E-3</v>
      </c>
      <c r="AG378" s="3">
        <v>6.2221777777777577E-3</v>
      </c>
      <c r="AH378" s="3">
        <v>-1.5746762181041989E-3</v>
      </c>
      <c r="AI378" s="3">
        <v>-3.2086961458517959E-3</v>
      </c>
      <c r="AJ378" s="3">
        <v>-7.6666802333312488E-3</v>
      </c>
      <c r="AK378" s="3">
        <v>-2.2222222222222143E-2</v>
      </c>
      <c r="AL378" s="3">
        <v>8.3200792612459829E-4</v>
      </c>
      <c r="AM378" s="3">
        <v>1.6493862276567441E-2</v>
      </c>
      <c r="AN378" s="3">
        <v>-2.7425971436262531E-3</v>
      </c>
    </row>
    <row r="379" spans="1:40" x14ac:dyDescent="0.3">
      <c r="A379" s="101">
        <v>44855</v>
      </c>
      <c r="B379" s="3">
        <v>-1.2617692954693263E-2</v>
      </c>
      <c r="C379" s="3">
        <v>-6.6029103727347008E-3</v>
      </c>
      <c r="D379" s="3">
        <v>1.3709881292598676E-3</v>
      </c>
      <c r="E379" s="3">
        <v>-5.8952918959522286E-3</v>
      </c>
      <c r="F379" s="3">
        <v>2.7379382217774056E-2</v>
      </c>
      <c r="G379" s="3">
        <v>2.2433535000154849E-2</v>
      </c>
      <c r="H379" s="3">
        <v>5.3333512681000986E-3</v>
      </c>
      <c r="I379" s="3">
        <v>1.3071851282272262E-2</v>
      </c>
      <c r="J379" s="3">
        <v>-5.330043601547073E-3</v>
      </c>
      <c r="K379" s="3">
        <v>1.3709881292598676E-3</v>
      </c>
      <c r="L379" s="3">
        <v>-4.3690397309574325E-3</v>
      </c>
      <c r="M379" s="3">
        <v>2.5102432758646872E-2</v>
      </c>
      <c r="N379" s="3">
        <v>3.9738147318602556E-2</v>
      </c>
      <c r="O379" s="3">
        <v>-6.6029103727347008E-3</v>
      </c>
      <c r="P379" s="3">
        <v>-4.2017854936037217E-3</v>
      </c>
      <c r="Q379" s="3">
        <v>1.2658219928267786E-2</v>
      </c>
      <c r="R379" s="3">
        <v>2.8670627308445756E-2</v>
      </c>
      <c r="S379" s="3">
        <v>0</v>
      </c>
      <c r="T379" s="3">
        <v>1.3035013896743831E-3</v>
      </c>
      <c r="U379" s="3">
        <v>3.191139313520814E-2</v>
      </c>
      <c r="V379" s="3">
        <v>-1.0219021074046765E-2</v>
      </c>
      <c r="W379" s="3">
        <v>-3.516943952729347E-3</v>
      </c>
      <c r="X379" s="3">
        <v>-1.8416206261509082E-3</v>
      </c>
      <c r="Y379" s="3">
        <v>-1.0585021924854297E-2</v>
      </c>
      <c r="Z379" s="3">
        <v>-1.426307448494451E-2</v>
      </c>
      <c r="AA379" s="3">
        <v>-2.8293099850916586E-2</v>
      </c>
      <c r="AB379" s="3">
        <v>1.4336967197710427E-2</v>
      </c>
      <c r="AC379" s="3">
        <v>4.0123345948719989E-2</v>
      </c>
      <c r="AD379" s="3">
        <v>1.5706808349881658E-2</v>
      </c>
      <c r="AE379" s="3">
        <v>1.3208712171608872E-2</v>
      </c>
      <c r="AF379" s="3">
        <v>-1.1235726552760674E-2</v>
      </c>
      <c r="AG379" s="3">
        <v>9.717403256069089E-3</v>
      </c>
      <c r="AH379" s="3">
        <v>-8.2019326049995404E-3</v>
      </c>
      <c r="AI379" s="3">
        <v>-3.0333450840159325E-3</v>
      </c>
      <c r="AJ379" s="3">
        <v>1.2697015489901734E-2</v>
      </c>
      <c r="AK379" s="3">
        <v>1.3636363636363547E-2</v>
      </c>
      <c r="AL379" s="3">
        <v>1.9744677816769717E-2</v>
      </c>
      <c r="AM379" s="3">
        <v>3.8063760079254438E-2</v>
      </c>
      <c r="AN379" s="3">
        <v>1.5162027357811398E-2</v>
      </c>
    </row>
    <row r="380" spans="1:40" x14ac:dyDescent="0.3">
      <c r="A380" s="101">
        <v>44858</v>
      </c>
      <c r="B380" s="3">
        <v>-5.4766242986584784E-3</v>
      </c>
      <c r="C380" s="3">
        <v>-1.0302411869292573E-2</v>
      </c>
      <c r="D380" s="3">
        <v>-1.0455483348369885E-3</v>
      </c>
      <c r="E380" s="3">
        <v>9.720330389723017E-3</v>
      </c>
      <c r="F380" s="3">
        <v>3.8071100709459495E-2</v>
      </c>
      <c r="G380" s="3">
        <v>1.5259616252821722E-2</v>
      </c>
      <c r="H380" s="3">
        <v>1.9735081616269793E-3</v>
      </c>
      <c r="I380" s="3">
        <v>4.3440860215053834E-2</v>
      </c>
      <c r="J380" s="3">
        <v>-9.0583846105411828E-3</v>
      </c>
      <c r="K380" s="3">
        <v>-1.0455483348369885E-3</v>
      </c>
      <c r="L380" s="3">
        <v>-5.8952918959522286E-3</v>
      </c>
      <c r="M380" s="3">
        <v>6.1969015492253789E-2</v>
      </c>
      <c r="N380" s="3">
        <v>-2.5715685719528737E-3</v>
      </c>
      <c r="O380" s="3">
        <v>-1.0302411869292573E-2</v>
      </c>
      <c r="P380" s="3">
        <v>-8.4388190104862423E-3</v>
      </c>
      <c r="Q380" s="3">
        <v>3.2500000402023201E-2</v>
      </c>
      <c r="R380" s="3">
        <v>-3.1726909721804433E-2</v>
      </c>
      <c r="S380" s="3">
        <v>-1.9115203370515847E-3</v>
      </c>
      <c r="T380" s="3">
        <v>2.6036308865989796E-3</v>
      </c>
      <c r="U380" s="3">
        <v>-1.9891177911731114E-2</v>
      </c>
      <c r="V380" s="3">
        <v>-2.2123848503389588E-2</v>
      </c>
      <c r="W380" s="3">
        <v>-4.7059248250759817E-3</v>
      </c>
      <c r="X380" s="3">
        <v>8.1180811808117658E-3</v>
      </c>
      <c r="Y380" s="3">
        <v>2.2349256083027388E-2</v>
      </c>
      <c r="Z380" s="3">
        <v>1.4469453376205766E-2</v>
      </c>
      <c r="AA380" s="3">
        <v>-1.9382246627814417E-2</v>
      </c>
      <c r="AB380" s="3">
        <v>6.66009767484741E-5</v>
      </c>
      <c r="AC380" s="3">
        <v>1.956637832293211E-2</v>
      </c>
      <c r="AD380" s="3">
        <v>4.4672972040899449E-3</v>
      </c>
      <c r="AE380" s="3">
        <v>-2.1424794439958892E-3</v>
      </c>
      <c r="AF380" s="3">
        <v>1.6477149455587013E-2</v>
      </c>
      <c r="AG380" s="3">
        <v>-6.1243216918494044E-3</v>
      </c>
      <c r="AH380" s="3">
        <v>1.5426274960974918E-2</v>
      </c>
      <c r="AI380" s="3">
        <v>-1.6143618679375794E-3</v>
      </c>
      <c r="AJ380" s="3">
        <v>-1.4194229357162005E-3</v>
      </c>
      <c r="AK380" s="3">
        <v>-4.4843049327354299E-2</v>
      </c>
      <c r="AL380" s="3">
        <v>-1.7206866363825768E-3</v>
      </c>
      <c r="AM380" s="3">
        <v>-4.8050395864046042E-3</v>
      </c>
      <c r="AN380" s="3">
        <v>5.8238086846422689E-3</v>
      </c>
    </row>
    <row r="381" spans="1:40" x14ac:dyDescent="0.3">
      <c r="A381" s="101">
        <v>44859</v>
      </c>
      <c r="B381" s="3">
        <v>1.3257166145848129E-2</v>
      </c>
      <c r="C381" s="3">
        <v>4.0302773743371574E-4</v>
      </c>
      <c r="D381" s="3">
        <v>-2.8034235322915435E-3</v>
      </c>
      <c r="E381" s="3">
        <v>-1.2365040375558734E-3</v>
      </c>
      <c r="F381" s="3">
        <v>1.2632434569856658E-2</v>
      </c>
      <c r="G381" s="3">
        <v>8.982519366272609E-3</v>
      </c>
      <c r="H381" s="3">
        <v>9.0135202804218621E-4</v>
      </c>
      <c r="I381" s="3">
        <v>-3.709810387469079E-3</v>
      </c>
      <c r="J381" s="3">
        <v>-2.575155455291854E-4</v>
      </c>
      <c r="K381" s="3">
        <v>-2.8034235322915435E-3</v>
      </c>
      <c r="L381" s="3">
        <v>9.720330389723017E-3</v>
      </c>
      <c r="M381" s="3">
        <v>7.5294117647058886E-3</v>
      </c>
      <c r="N381" s="3">
        <v>-2.542678977167195E-2</v>
      </c>
      <c r="O381" s="3">
        <v>4.0302773743371574E-4</v>
      </c>
      <c r="P381" s="3">
        <v>0</v>
      </c>
      <c r="Q381" s="3">
        <v>1.6142304558182795E-3</v>
      </c>
      <c r="R381" s="3">
        <v>-2.9448372097647099E-2</v>
      </c>
      <c r="S381" s="3">
        <v>0</v>
      </c>
      <c r="T381" s="3">
        <v>-2.8131569975706964E-3</v>
      </c>
      <c r="U381" s="3">
        <v>-1.1732964308742214E-2</v>
      </c>
      <c r="V381" s="3">
        <v>-4.5249147992079105E-3</v>
      </c>
      <c r="W381" s="3">
        <v>1.0047346173950965E-2</v>
      </c>
      <c r="X381" s="3">
        <v>1.061497071742314E-2</v>
      </c>
      <c r="Y381" s="3">
        <v>-5.0889190054781881E-3</v>
      </c>
      <c r="Z381" s="3">
        <v>7.9239302694137422E-3</v>
      </c>
      <c r="AA381" s="3">
        <v>4.0793769124911609E-2</v>
      </c>
      <c r="AB381" s="3">
        <v>6.6667018154017875E-3</v>
      </c>
      <c r="AC381" s="3">
        <v>-1.3235145087093725E-2</v>
      </c>
      <c r="AD381" s="3">
        <v>-1.3684530193652006E-2</v>
      </c>
      <c r="AE381" s="3">
        <v>6.0773024684460221E-3</v>
      </c>
      <c r="AF381" s="3">
        <v>-1.7607598770063199E-2</v>
      </c>
      <c r="AG381" s="3">
        <v>-1.7605194436849081E-3</v>
      </c>
      <c r="AH381" s="3">
        <v>1.8793956626491561E-2</v>
      </c>
      <c r="AI381" s="3">
        <v>6.4059596775035534E-3</v>
      </c>
      <c r="AJ381" s="3">
        <v>1.7648868549033886E-2</v>
      </c>
      <c r="AK381" s="3">
        <v>-1.408450704225343E-2</v>
      </c>
      <c r="AL381" s="3">
        <v>-2.0884943904463109E-3</v>
      </c>
      <c r="AM381" s="3">
        <v>1.1879361721182464E-2</v>
      </c>
      <c r="AN381" s="3">
        <v>-1.4044866102607835E-3</v>
      </c>
    </row>
    <row r="382" spans="1:40" x14ac:dyDescent="0.3">
      <c r="A382" s="101">
        <v>44860</v>
      </c>
      <c r="B382" s="3">
        <v>4.0262714824884757E-4</v>
      </c>
      <c r="C382" s="3">
        <v>-1.0808218991032924E-2</v>
      </c>
      <c r="D382" s="3">
        <v>-2.4897197255358158E-5</v>
      </c>
      <c r="E382" s="3">
        <v>-5.5709752762949189E-3</v>
      </c>
      <c r="F382" s="3">
        <v>1.1670043571430604E-2</v>
      </c>
      <c r="G382" s="3">
        <v>-1.0048475364878167E-2</v>
      </c>
      <c r="H382" s="3">
        <v>-1.154025748782609E-3</v>
      </c>
      <c r="I382" s="3">
        <v>6.6197765825401975E-3</v>
      </c>
      <c r="J382" s="3">
        <v>-4.3787732600825101E-3</v>
      </c>
      <c r="K382" s="3">
        <v>-2.4897197255358158E-5</v>
      </c>
      <c r="L382" s="3">
        <v>-1.2365040375558734E-3</v>
      </c>
      <c r="M382" s="3">
        <v>-3.0359645025688865E-2</v>
      </c>
      <c r="N382" s="3">
        <v>3.0742541219259532E-2</v>
      </c>
      <c r="O382" s="3">
        <v>-1.0808218991032924E-2</v>
      </c>
      <c r="P382" s="3">
        <v>1.1702181473520286E-2</v>
      </c>
      <c r="Q382" s="3">
        <v>1.8533435446370865E-2</v>
      </c>
      <c r="R382" s="3">
        <v>3.128207031233711E-2</v>
      </c>
      <c r="S382" s="3">
        <v>2.5246250540590737E-2</v>
      </c>
      <c r="T382" s="3">
        <v>4.1232019394390456E-3</v>
      </c>
      <c r="U382" s="3">
        <v>-6.8987726386535633E-3</v>
      </c>
      <c r="V382" s="3">
        <v>-1.2121182902091996E-2</v>
      </c>
      <c r="W382" s="3">
        <v>7.0215399926970923E-3</v>
      </c>
      <c r="X382" s="3">
        <v>3.2234660187082195E-2</v>
      </c>
      <c r="Y382" s="3">
        <v>-2.6294892677687531E-2</v>
      </c>
      <c r="Z382" s="3">
        <v>-3.1446540880503871E-3</v>
      </c>
      <c r="AA382" s="3">
        <v>3.2501207560251613E-2</v>
      </c>
      <c r="AB382" s="3">
        <v>1.6490075632513555E-2</v>
      </c>
      <c r="AC382" s="3">
        <v>-6.3855903238579006E-3</v>
      </c>
      <c r="AD382" s="3">
        <v>-1.5955555766400762E-2</v>
      </c>
      <c r="AE382" s="3">
        <v>-0.11339792744187709</v>
      </c>
      <c r="AF382" s="3">
        <v>-1.9912500126089989E-3</v>
      </c>
      <c r="AG382" s="3">
        <v>-5.2910493827159821E-3</v>
      </c>
      <c r="AH382" s="3">
        <v>-7.6861638088975535E-4</v>
      </c>
      <c r="AI382" s="3">
        <v>-2.4719316376193745E-3</v>
      </c>
      <c r="AJ382" s="3">
        <v>-5.2381575197258019E-4</v>
      </c>
      <c r="AK382" s="3">
        <v>-0.11904761904761904</v>
      </c>
      <c r="AL382" s="3">
        <v>-9.3965491589231398E-5</v>
      </c>
      <c r="AM382" s="3">
        <v>6.2408755458524959E-3</v>
      </c>
      <c r="AN382" s="3">
        <v>2.3441296389046865E-3</v>
      </c>
    </row>
    <row r="383" spans="1:40" x14ac:dyDescent="0.3">
      <c r="A383" s="101">
        <v>44861</v>
      </c>
      <c r="B383" s="3">
        <v>2.4144447289869155E-3</v>
      </c>
      <c r="C383" s="3">
        <v>-5.6328046145393022E-3</v>
      </c>
      <c r="D383" s="3">
        <v>-2.7494726054858959E-4</v>
      </c>
      <c r="E383" s="3">
        <v>1.9830109526204166E-2</v>
      </c>
      <c r="F383" s="3">
        <v>2.1877413910656892E-2</v>
      </c>
      <c r="G383" s="3">
        <v>6.2327888485618184E-3</v>
      </c>
      <c r="H383" s="3">
        <v>1.7363777823783937E-3</v>
      </c>
      <c r="I383" s="3">
        <v>-1.7673653925195223E-2</v>
      </c>
      <c r="J383" s="3">
        <v>1.6816920883450106E-3</v>
      </c>
      <c r="K383" s="3">
        <v>-2.7494726054858959E-4</v>
      </c>
      <c r="L383" s="3">
        <v>-5.5709752762949189E-3</v>
      </c>
      <c r="M383" s="3">
        <v>2.1435452793834138E-2</v>
      </c>
      <c r="N383" s="3">
        <v>-1.4071963155113566E-2</v>
      </c>
      <c r="O383" s="3">
        <v>-5.6328046145393022E-3</v>
      </c>
      <c r="P383" s="3">
        <v>1.156677181913769E-2</v>
      </c>
      <c r="Q383" s="3">
        <v>1.7405045697819272E-2</v>
      </c>
      <c r="R383" s="3">
        <v>-2.6852343778449455E-2</v>
      </c>
      <c r="S383" s="3">
        <v>-9.9488539845032607E-3</v>
      </c>
      <c r="T383" s="3">
        <v>-3.4579663835151986E-3</v>
      </c>
      <c r="U383" s="3">
        <v>-4.3457199859130873E-2</v>
      </c>
      <c r="V383" s="3">
        <v>0</v>
      </c>
      <c r="W383" s="3">
        <v>-3.1958067853694011E-2</v>
      </c>
      <c r="X383" s="3">
        <v>-3.3333368421052639E-2</v>
      </c>
      <c r="Y383" s="3">
        <v>1.7016498460595076E-3</v>
      </c>
      <c r="Z383" s="3">
        <v>1.4195583596214489E-2</v>
      </c>
      <c r="AA383" s="3">
        <v>6.7676101678472963E-3</v>
      </c>
      <c r="AB383" s="3">
        <v>2.8535893139492504E-2</v>
      </c>
      <c r="AC383" s="3">
        <v>-6.103785741531414E-3</v>
      </c>
      <c r="AD383" s="3">
        <v>-8.4597307074953301E-3</v>
      </c>
      <c r="AE383" s="3">
        <v>-3.7778935833793263E-2</v>
      </c>
      <c r="AF383" s="3">
        <v>-2.4230643215435249E-2</v>
      </c>
      <c r="AG383" s="3">
        <v>-3.98936187896107E-3</v>
      </c>
      <c r="AH383" s="3">
        <v>0</v>
      </c>
      <c r="AI383" s="3">
        <v>-6.1871632100975109E-5</v>
      </c>
      <c r="AJ383" s="3">
        <v>-2.2708568424917382E-3</v>
      </c>
      <c r="AK383" s="3">
        <v>0.11351351351351349</v>
      </c>
      <c r="AL383" s="3">
        <v>1.1049120796691934E-2</v>
      </c>
      <c r="AM383" s="3">
        <v>-1.3980225204990029E-2</v>
      </c>
      <c r="AN383" s="3">
        <v>4.143700830831807E-2</v>
      </c>
    </row>
    <row r="384" spans="1:40" x14ac:dyDescent="0.3">
      <c r="A384" s="101">
        <v>44862</v>
      </c>
      <c r="B384" s="3">
        <v>2.0072289120921523E-2</v>
      </c>
      <c r="C384" s="3">
        <v>8.053483420833946E-3</v>
      </c>
      <c r="D384" s="3">
        <v>5.632284723073636E-5</v>
      </c>
      <c r="E384" s="3">
        <v>-7.4988679611608967E-3</v>
      </c>
      <c r="F384" s="3">
        <v>1.0899218056888997E-2</v>
      </c>
      <c r="G384" s="3">
        <v>3.1413108903404798E-2</v>
      </c>
      <c r="H384" s="3">
        <v>2.3333800009338352E-5</v>
      </c>
      <c r="I384" s="3">
        <v>-4.142259414225935E-2</v>
      </c>
      <c r="J384" s="3">
        <v>2.7117787764219269E-3</v>
      </c>
      <c r="K384" s="3">
        <v>5.632284723073636E-5</v>
      </c>
      <c r="L384" s="3">
        <v>1.9830109526204166E-2</v>
      </c>
      <c r="M384" s="3">
        <v>-5.4232492336712306E-3</v>
      </c>
      <c r="N384" s="3">
        <v>-1.1041273604714229E-2</v>
      </c>
      <c r="O384" s="3">
        <v>8.053483420833946E-3</v>
      </c>
      <c r="P384" s="3">
        <v>-5.1975051975041635E-4</v>
      </c>
      <c r="Q384" s="3">
        <v>1.5552352602020549E-3</v>
      </c>
      <c r="R384" s="3">
        <v>-4.0878881696744314E-2</v>
      </c>
      <c r="S384" s="3">
        <v>0</v>
      </c>
      <c r="T384" s="3">
        <v>-1.8434200809716264E-2</v>
      </c>
      <c r="U384" s="3">
        <v>-2.9893654153638826E-2</v>
      </c>
      <c r="V384" s="3">
        <v>1.6871164089029129E-2</v>
      </c>
      <c r="W384" s="3">
        <v>-1.8607424024313715E-2</v>
      </c>
      <c r="X384" s="3">
        <v>2.286755073929404E-2</v>
      </c>
      <c r="Y384" s="3">
        <v>-1.0340424036784941E-3</v>
      </c>
      <c r="Z384" s="3">
        <v>-3.1104199066873364E-3</v>
      </c>
      <c r="AA384" s="3">
        <v>3.7103919263216989E-2</v>
      </c>
      <c r="AB384" s="3">
        <v>1.6976099508211502E-2</v>
      </c>
      <c r="AC384" s="3">
        <v>1.9516330452529838E-2</v>
      </c>
      <c r="AD384" s="3">
        <v>3.0216847933512633E-2</v>
      </c>
      <c r="AE384" s="3">
        <v>-7.419970131355434E-3</v>
      </c>
      <c r="AF384" s="3">
        <v>-1.6651968134811131E-2</v>
      </c>
      <c r="AG384" s="3">
        <v>1.0235959512058674E-2</v>
      </c>
      <c r="AH384" s="3">
        <v>-1.5384930206820602E-3</v>
      </c>
      <c r="AI384" s="3">
        <v>-1.2514803703909658E-2</v>
      </c>
      <c r="AJ384" s="3">
        <v>2.0601133724514532E-2</v>
      </c>
      <c r="AK384" s="3">
        <v>-3.3980582524271871E-2</v>
      </c>
      <c r="AL384" s="3">
        <v>-5.0196139580251627E-3</v>
      </c>
      <c r="AM384" s="3">
        <v>-4.721315951986365E-3</v>
      </c>
      <c r="AN384" s="3">
        <v>-5.2731180318431855E-3</v>
      </c>
    </row>
    <row r="385" spans="1:40" x14ac:dyDescent="0.3">
      <c r="A385" s="101">
        <v>44865</v>
      </c>
      <c r="B385" s="3">
        <v>-3.3451625518971526E-3</v>
      </c>
      <c r="C385" s="3">
        <v>2.7080754048893155E-3</v>
      </c>
      <c r="D385" s="3">
        <v>1.4995501120560747E-4</v>
      </c>
      <c r="E385" s="3">
        <v>-6.1057959480317614E-3</v>
      </c>
      <c r="F385" s="3">
        <v>-1.0011535549245391E-2</v>
      </c>
      <c r="G385" s="3">
        <v>5.2333606132756857E-3</v>
      </c>
      <c r="H385" s="3">
        <v>2.2866590444698813E-3</v>
      </c>
      <c r="I385" s="3">
        <v>8.7298123090351701E-4</v>
      </c>
      <c r="J385" s="3">
        <v>3.8633985789716715E-3</v>
      </c>
      <c r="K385" s="3">
        <v>1.4995501120560747E-4</v>
      </c>
      <c r="L385" s="3">
        <v>-7.4988679611608967E-3</v>
      </c>
      <c r="M385" s="3">
        <v>1.4225225225224568E-3</v>
      </c>
      <c r="N385" s="3">
        <v>-5.7184179681931176E-3</v>
      </c>
      <c r="O385" s="3">
        <v>2.7080754048893155E-3</v>
      </c>
      <c r="P385" s="3">
        <v>-8.8404056162246069E-3</v>
      </c>
      <c r="Q385" s="3">
        <v>1.7857137675320163E-2</v>
      </c>
      <c r="R385" s="3">
        <v>-8.2844998305229331E-2</v>
      </c>
      <c r="S385" s="3">
        <v>0</v>
      </c>
      <c r="T385" s="3">
        <v>2.2093882306635883E-4</v>
      </c>
      <c r="U385" s="3">
        <v>-7.3816099396824042E-2</v>
      </c>
      <c r="V385" s="3">
        <v>-6.0331989494235285E-3</v>
      </c>
      <c r="W385" s="3">
        <v>5.9327143863258547E-2</v>
      </c>
      <c r="X385" s="3">
        <v>9.5812987934705673E-3</v>
      </c>
      <c r="Y385" s="3">
        <v>1.5526846580406711E-2</v>
      </c>
      <c r="Z385" s="3">
        <v>3.2761310452418091E-2</v>
      </c>
      <c r="AA385" s="3">
        <v>1.7422123348750252E-2</v>
      </c>
      <c r="AB385" s="3">
        <v>2.9275054398063419E-3</v>
      </c>
      <c r="AC385" s="3">
        <v>-1.2423915867613534E-2</v>
      </c>
      <c r="AD385" s="3">
        <v>1.0352654894434897E-3</v>
      </c>
      <c r="AE385" s="3">
        <v>-1.3327680136838644E-2</v>
      </c>
      <c r="AF385" s="3">
        <v>-3.5650872929320928E-3</v>
      </c>
      <c r="AG385" s="3">
        <v>0</v>
      </c>
      <c r="AH385" s="3">
        <v>-1.8875248258044031E-2</v>
      </c>
      <c r="AI385" s="3">
        <v>-1.8257095625091455E-2</v>
      </c>
      <c r="AJ385" s="3">
        <v>-3.6597404723803023E-3</v>
      </c>
      <c r="AK385" s="3">
        <v>-1.5075376884422124E-2</v>
      </c>
      <c r="AL385" s="3">
        <v>-1.9166022701628899E-2</v>
      </c>
      <c r="AM385" s="3">
        <v>-2.8874449538145792E-2</v>
      </c>
      <c r="AN385" s="3">
        <v>-2.8287299468125009E-2</v>
      </c>
    </row>
    <row r="386" spans="1:40" x14ac:dyDescent="0.3">
      <c r="A386" s="101">
        <v>44866</v>
      </c>
      <c r="B386" s="3">
        <v>-5.5281509917592545E-3</v>
      </c>
      <c r="C386" s="3">
        <v>-2.1606325554901504E-3</v>
      </c>
      <c r="D386" s="3">
        <v>8.8090404729660636E-4</v>
      </c>
      <c r="E386" s="3">
        <v>-8.3968785619976634E-4</v>
      </c>
      <c r="F386" s="3">
        <v>-1.0501797563207601E-2</v>
      </c>
      <c r="G386" s="3">
        <v>1.7239946526242996E-2</v>
      </c>
      <c r="H386" s="3">
        <v>2.3280022082753854E-4</v>
      </c>
      <c r="I386" s="3">
        <v>1.1338901003052727E-2</v>
      </c>
      <c r="J386" s="3">
        <v>4.8749843595187539E-3</v>
      </c>
      <c r="K386" s="3">
        <v>8.8090404729660636E-4</v>
      </c>
      <c r="L386" s="3">
        <v>-6.1057959480317614E-3</v>
      </c>
      <c r="M386" s="3">
        <v>-1.4204615804705547E-2</v>
      </c>
      <c r="N386" s="3">
        <v>-2.921423505174259E-3</v>
      </c>
      <c r="O386" s="3">
        <v>-2.1606325554901504E-3</v>
      </c>
      <c r="P386" s="3">
        <v>5.2471146509498962E-4</v>
      </c>
      <c r="Q386" s="3">
        <v>-9.9160632279701941E-3</v>
      </c>
      <c r="R386" s="3">
        <v>7.7548686572630338E-2</v>
      </c>
      <c r="S386" s="3">
        <v>7.1081422050157314E-3</v>
      </c>
      <c r="T386" s="3">
        <v>2.5403110899017027E-2</v>
      </c>
      <c r="U386" s="3">
        <v>1.8984955971011453E-2</v>
      </c>
      <c r="V386" s="3">
        <v>-7.5872585559420671E-3</v>
      </c>
      <c r="W386" s="3">
        <v>4.6189453064476783E-2</v>
      </c>
      <c r="X386" s="3">
        <v>2.2847064223301822E-2</v>
      </c>
      <c r="Y386" s="3">
        <v>-6.553403426862905E-4</v>
      </c>
      <c r="Z386" s="3">
        <v>3.0211480362537118E-3</v>
      </c>
      <c r="AA386" s="3">
        <v>-4.1352934561359238E-2</v>
      </c>
      <c r="AB386" s="3">
        <v>2.4219860593906505E-3</v>
      </c>
      <c r="AC386" s="3">
        <v>-1.1026098618043566E-2</v>
      </c>
      <c r="AD386" s="3">
        <v>1.0341239272732264E-3</v>
      </c>
      <c r="AE386" s="3">
        <v>-2.1300537211889087E-2</v>
      </c>
      <c r="AF386" s="3">
        <v>-1.7590903903048623E-2</v>
      </c>
      <c r="AG386" s="3">
        <v>-8.8110128277089504E-4</v>
      </c>
      <c r="AH386" s="3">
        <v>-2.9446397153849661E-2</v>
      </c>
      <c r="AI386" s="3">
        <v>-1.9683079109629568E-2</v>
      </c>
      <c r="AJ386" s="3">
        <v>-1.199499549243495E-2</v>
      </c>
      <c r="AK386" s="3">
        <v>-4.0816326530612283E-2</v>
      </c>
      <c r="AL386" s="3">
        <v>-2.1859210345800597E-3</v>
      </c>
      <c r="AM386" s="3">
        <v>-7.7973511930094818E-3</v>
      </c>
      <c r="AN386" s="3">
        <v>2.0909597995044556E-3</v>
      </c>
    </row>
    <row r="387" spans="1:40" x14ac:dyDescent="0.3">
      <c r="A387" s="101">
        <v>44868</v>
      </c>
      <c r="B387" s="3">
        <v>-1.9058993012239317E-2</v>
      </c>
      <c r="C387" s="3">
        <v>5.2781058270767768E-3</v>
      </c>
      <c r="D387" s="3">
        <v>-1.3983466131084268E-3</v>
      </c>
      <c r="E387" s="3">
        <v>-1.1942860472776142E-3</v>
      </c>
      <c r="F387" s="3">
        <v>1.8081803350447755E-2</v>
      </c>
      <c r="G387" s="3">
        <v>6.5651454281998159E-2</v>
      </c>
      <c r="H387" s="3">
        <v>7.846866407100623E-4</v>
      </c>
      <c r="I387" s="3">
        <v>6.8994822380560776E-3</v>
      </c>
      <c r="J387" s="3">
        <v>2.4257258989589321E-3</v>
      </c>
      <c r="K387" s="3">
        <v>-1.3983466131084268E-3</v>
      </c>
      <c r="L387" s="3">
        <v>-8.3968785619976634E-4</v>
      </c>
      <c r="M387" s="3">
        <v>0</v>
      </c>
      <c r="N387" s="3">
        <v>9.430514152202767E-3</v>
      </c>
      <c r="O387" s="3">
        <v>5.2781058270767768E-3</v>
      </c>
      <c r="P387" s="3">
        <v>-4.1950707918197092E-3</v>
      </c>
      <c r="Q387" s="3">
        <v>7.7042812992566493E-4</v>
      </c>
      <c r="R387" s="3">
        <v>5.1212938175256725E-2</v>
      </c>
      <c r="S387" s="3">
        <v>-3.5598685829736264E-2</v>
      </c>
      <c r="T387" s="3">
        <v>1.2063763302643795E-2</v>
      </c>
      <c r="U387" s="3">
        <v>4.1505219146511646E-2</v>
      </c>
      <c r="V387" s="3">
        <v>0</v>
      </c>
      <c r="W387" s="3">
        <v>-4.4150507309422939E-3</v>
      </c>
      <c r="X387" s="3">
        <v>-3.4364261168385365E-3</v>
      </c>
      <c r="Y387" s="3">
        <v>1.748542974957827E-3</v>
      </c>
      <c r="Z387" s="3">
        <v>2.1084337349397676E-2</v>
      </c>
      <c r="AA387" s="3">
        <v>6.2847731915002406E-3</v>
      </c>
      <c r="AB387" s="3">
        <v>3.2835282244026045E-3</v>
      </c>
      <c r="AC387" s="3">
        <v>1.129725129725725E-2</v>
      </c>
      <c r="AD387" s="3">
        <v>-1.6528960738539347E-2</v>
      </c>
      <c r="AE387" s="3">
        <v>2.3843223249077391E-2</v>
      </c>
      <c r="AF387" s="3">
        <v>8.8012941671559812E-3</v>
      </c>
      <c r="AG387" s="3">
        <v>5.2909611992945308E-3</v>
      </c>
      <c r="AH387" s="3">
        <v>-8.0905355660881896E-3</v>
      </c>
      <c r="AI387" s="3">
        <v>-1.5384632027194162E-2</v>
      </c>
      <c r="AJ387" s="3">
        <v>-6.9700486867007563E-4</v>
      </c>
      <c r="AK387" s="3">
        <v>-1.0638297872340318E-2</v>
      </c>
      <c r="AL387" s="3">
        <v>-2.6918647099113063E-4</v>
      </c>
      <c r="AM387" s="3">
        <v>6.4672660198370193E-3</v>
      </c>
      <c r="AN387" s="3">
        <v>1.0331728194820654E-4</v>
      </c>
    </row>
    <row r="388" spans="1:40" x14ac:dyDescent="0.3">
      <c r="A388" s="101">
        <v>44869</v>
      </c>
      <c r="B388" s="3">
        <v>1.1333772953688046E-2</v>
      </c>
      <c r="C388" s="3">
        <v>4.6445198542660812E-3</v>
      </c>
      <c r="D388" s="3">
        <v>4.0633986822562863E-4</v>
      </c>
      <c r="E388" s="3">
        <v>-5.7578600674453625E-4</v>
      </c>
      <c r="F388" s="3">
        <v>1.548586914440573E-3</v>
      </c>
      <c r="G388" s="3">
        <v>-1.9643372907307669E-2</v>
      </c>
      <c r="H388" s="3">
        <v>-1.8771200659152055E-3</v>
      </c>
      <c r="I388" s="3">
        <v>-2.9122055674518189E-2</v>
      </c>
      <c r="J388" s="3">
        <v>-7.7687108067803143E-3</v>
      </c>
      <c r="K388" s="3">
        <v>4.0633986822562863E-4</v>
      </c>
      <c r="L388" s="3">
        <v>-1.1942860472776142E-3</v>
      </c>
      <c r="M388" s="3">
        <v>-3.5542724196511298E-2</v>
      </c>
      <c r="N388" s="3">
        <v>-2.3219889388952638E-2</v>
      </c>
      <c r="O388" s="3">
        <v>4.6445198542660812E-3</v>
      </c>
      <c r="P388" s="3">
        <v>5.2659294365463738E-4</v>
      </c>
      <c r="Q388" s="3">
        <v>3.1274433150899138E-2</v>
      </c>
      <c r="R388" s="3">
        <v>-5.9828912772193791E-3</v>
      </c>
      <c r="S388" s="3">
        <v>6.7113650459055887E-3</v>
      </c>
      <c r="T388" s="3">
        <v>5.1086142209364098E-3</v>
      </c>
      <c r="U388" s="3">
        <v>1.1335470450385562E-2</v>
      </c>
      <c r="V388" s="3">
        <v>2.9052020234229575E-2</v>
      </c>
      <c r="W388" s="3">
        <v>-1.6629779830279131E-2</v>
      </c>
      <c r="X388" s="3">
        <v>1.2068965517241428E-2</v>
      </c>
      <c r="Y388" s="3">
        <v>-2.1600007272727244E-2</v>
      </c>
      <c r="Z388" s="3">
        <v>1.1799410029498535E-2</v>
      </c>
      <c r="AA388" s="3">
        <v>-3.053759408602149E-2</v>
      </c>
      <c r="AB388" s="3">
        <v>-3.1678292571654589E-2</v>
      </c>
      <c r="AC388" s="3">
        <v>-2.3280370159387588E-2</v>
      </c>
      <c r="AD388" s="3">
        <v>-2.0308140117896091E-2</v>
      </c>
      <c r="AE388" s="3">
        <v>1.6029410447561985E-2</v>
      </c>
      <c r="AF388" s="3">
        <v>-1.8953127478571325E-2</v>
      </c>
      <c r="AG388" s="3">
        <v>-1.4912281355801808E-2</v>
      </c>
      <c r="AH388" s="3">
        <v>-3.2626517447443389E-2</v>
      </c>
      <c r="AI388" s="3">
        <v>-4.8794896397225493E-2</v>
      </c>
      <c r="AJ388" s="3">
        <v>-2.3309755223941617E-2</v>
      </c>
      <c r="AK388" s="3">
        <v>5.3763440860215101E-3</v>
      </c>
      <c r="AL388" s="3">
        <v>-2.6660071407024134E-2</v>
      </c>
      <c r="AM388" s="3">
        <v>1.1165348472007163E-2</v>
      </c>
      <c r="AN388" s="3">
        <v>-2.118470313898644E-2</v>
      </c>
    </row>
    <row r="389" spans="1:40" x14ac:dyDescent="0.3">
      <c r="A389" s="101">
        <v>44872</v>
      </c>
      <c r="B389" s="3">
        <v>-1.040619732274062E-2</v>
      </c>
      <c r="C389" s="3">
        <v>-1.3266180108161272E-2</v>
      </c>
      <c r="D389" s="3">
        <v>1.9871216378141081E-3</v>
      </c>
      <c r="E389" s="3">
        <v>4.9629684660395662E-3</v>
      </c>
      <c r="F389" s="3">
        <v>-1.5848473134905297E-2</v>
      </c>
      <c r="G389" s="3">
        <v>2.2807613875896578E-2</v>
      </c>
      <c r="H389" s="3">
        <v>9.6528952028436185E-4</v>
      </c>
      <c r="I389" s="3">
        <v>1.3233789148653996E-3</v>
      </c>
      <c r="J389" s="3">
        <v>-1.2963731762802836E-2</v>
      </c>
      <c r="K389" s="3">
        <v>1.9871216378141081E-3</v>
      </c>
      <c r="L389" s="3">
        <v>-5.7578600674453625E-4</v>
      </c>
      <c r="M389" s="3">
        <v>2.5647385458167422E-2</v>
      </c>
      <c r="N389" s="3">
        <v>2.414378257316583E-3</v>
      </c>
      <c r="O389" s="3">
        <v>-1.3266180108161272E-2</v>
      </c>
      <c r="P389" s="3">
        <v>-1.1052578947368412E-2</v>
      </c>
      <c r="Q389" s="3">
        <v>-3.7907505686125853E-3</v>
      </c>
      <c r="R389" s="3">
        <v>-1.1092017367696754E-2</v>
      </c>
      <c r="S389" s="3">
        <v>-1.6060581216134438E-2</v>
      </c>
      <c r="T389" s="3">
        <v>8.4709603331562123E-3</v>
      </c>
      <c r="U389" s="3">
        <v>-7.8808752937272585E-3</v>
      </c>
      <c r="V389" s="3">
        <v>1.9316469047439475E-2</v>
      </c>
      <c r="W389" s="3">
        <v>5.8060965242375903E-2</v>
      </c>
      <c r="X389" s="3">
        <v>2.5553662691652469E-2</v>
      </c>
      <c r="Y389" s="3">
        <v>4.4525422169965204E-2</v>
      </c>
      <c r="Z389" s="3">
        <v>2.0408163265306076E-2</v>
      </c>
      <c r="AA389" s="3">
        <v>5.0900228029327192E-2</v>
      </c>
      <c r="AB389" s="3">
        <v>2.1873464100464039E-2</v>
      </c>
      <c r="AC389" s="3">
        <v>1.4739445466189917E-2</v>
      </c>
      <c r="AD389" s="3">
        <v>-1.3938461395973415E-2</v>
      </c>
      <c r="AE389" s="3">
        <v>-1.6499425642125705E-2</v>
      </c>
      <c r="AF389" s="3">
        <v>-1.0119706323299532E-2</v>
      </c>
      <c r="AG389" s="3">
        <v>-2.2706946692205975E-2</v>
      </c>
      <c r="AH389" s="3">
        <v>-3.9628497653079776E-3</v>
      </c>
      <c r="AI389" s="3">
        <v>2.6448471741897998E-3</v>
      </c>
      <c r="AJ389" s="3">
        <v>1.1010391695027818E-2</v>
      </c>
      <c r="AK389" s="3">
        <v>-1.0695187165775409E-2</v>
      </c>
      <c r="AL389" s="3">
        <v>2.3164278811814612E-2</v>
      </c>
      <c r="AM389" s="3">
        <v>-2.7041463244964095E-3</v>
      </c>
      <c r="AN389" s="3">
        <v>1.6267428999944666E-2</v>
      </c>
    </row>
    <row r="390" spans="1:40" x14ac:dyDescent="0.3">
      <c r="A390" s="101">
        <v>44873</v>
      </c>
      <c r="B390" s="3">
        <v>6.4711790100016372E-3</v>
      </c>
      <c r="C390" s="3">
        <v>1.2900385124055482E-3</v>
      </c>
      <c r="D390" s="3">
        <v>-6.236151599578664E-4</v>
      </c>
      <c r="E390" s="3">
        <v>8.4218330160950282E-3</v>
      </c>
      <c r="F390" s="3">
        <v>-1.5710919088766692E-2</v>
      </c>
      <c r="G390" s="3">
        <v>-1.9786463490159927E-2</v>
      </c>
      <c r="H390" s="3">
        <v>6.6507492069417275E-6</v>
      </c>
      <c r="I390" s="3">
        <v>-1.5418545576275476E-2</v>
      </c>
      <c r="J390" s="3">
        <v>1.1443459275613414E-2</v>
      </c>
      <c r="K390" s="3">
        <v>-6.236151599578664E-4</v>
      </c>
      <c r="L390" s="3">
        <v>4.9629684660395662E-3</v>
      </c>
      <c r="M390" s="3">
        <v>-1.5052173222922389E-2</v>
      </c>
      <c r="N390" s="3">
        <v>-1.8805104752304205E-2</v>
      </c>
      <c r="O390" s="3">
        <v>1.2900385124055482E-3</v>
      </c>
      <c r="P390" s="3">
        <v>-2.5545608007152259E-2</v>
      </c>
      <c r="Q390" s="3">
        <v>-1.2937595129375951E-2</v>
      </c>
      <c r="R390" s="3">
        <v>1.3129262566972598E-2</v>
      </c>
      <c r="S390" s="3">
        <v>-5.2356219858188989E-3</v>
      </c>
      <c r="T390" s="3">
        <v>-2.1419546433261511E-2</v>
      </c>
      <c r="U390" s="3">
        <v>-2.5595734879605554E-2</v>
      </c>
      <c r="V390" s="3">
        <v>0</v>
      </c>
      <c r="W390" s="3">
        <v>5.0612591834806223E-2</v>
      </c>
      <c r="X390" s="3">
        <v>2.9900332225913574E-2</v>
      </c>
      <c r="Y390" s="3">
        <v>1.9498939097667572E-2</v>
      </c>
      <c r="Z390" s="3">
        <v>1.9999999999999955E-2</v>
      </c>
      <c r="AA390" s="3">
        <v>6.833822504732699E-3</v>
      </c>
      <c r="AB390" s="3">
        <v>3.1577702653979092E-2</v>
      </c>
      <c r="AC390" s="3">
        <v>-4.014438966998303E-2</v>
      </c>
      <c r="AD390" s="3">
        <v>-7.9738738270650686E-3</v>
      </c>
      <c r="AE390" s="3">
        <v>-1.586820311253976E-2</v>
      </c>
      <c r="AF390" s="3">
        <v>-4.1201942369155489E-2</v>
      </c>
      <c r="AG390" s="3">
        <v>2.2778586661567663E-3</v>
      </c>
      <c r="AH390" s="3">
        <v>1.96394576340501E-2</v>
      </c>
      <c r="AI390" s="3">
        <v>3.8181978825913183E-3</v>
      </c>
      <c r="AJ390" s="3">
        <v>-3.708665450121757E-3</v>
      </c>
      <c r="AK390" s="3">
        <v>-5.40540540540541E-3</v>
      </c>
      <c r="AL390" s="3">
        <v>-2.5062636366982451E-2</v>
      </c>
      <c r="AM390" s="3">
        <v>-3.3050135736994259E-2</v>
      </c>
      <c r="AN390" s="3">
        <v>-1.5302273481562158E-2</v>
      </c>
    </row>
    <row r="391" spans="1:40" x14ac:dyDescent="0.3">
      <c r="A391" s="101">
        <v>44874</v>
      </c>
      <c r="B391" s="3">
        <v>6.2286835272327137E-3</v>
      </c>
      <c r="C391" s="3">
        <v>-7.0528131550707711E-3</v>
      </c>
      <c r="D391" s="3">
        <v>-2.0904726643491936E-3</v>
      </c>
      <c r="E391" s="3">
        <v>1.3467512083464977E-2</v>
      </c>
      <c r="F391" s="3">
        <v>9.5770151636073424E-3</v>
      </c>
      <c r="G391" s="3">
        <v>-1.4698806884378567E-2</v>
      </c>
      <c r="H391" s="3">
        <v>-2.1415270018621977E-3</v>
      </c>
      <c r="I391" s="3">
        <v>9.8434004474272415E-3</v>
      </c>
      <c r="J391" s="3">
        <v>-6.1711980461393061E-3</v>
      </c>
      <c r="K391" s="3">
        <v>-2.0904726643491936E-3</v>
      </c>
      <c r="L391" s="3">
        <v>8.4218330160950282E-3</v>
      </c>
      <c r="M391" s="3">
        <v>-6.1621888094651215E-3</v>
      </c>
      <c r="N391" s="3">
        <v>1.5106342752344145E-3</v>
      </c>
      <c r="O391" s="3">
        <v>-7.0528131550707711E-3</v>
      </c>
      <c r="P391" s="3">
        <v>-1.6384435629952773E-2</v>
      </c>
      <c r="Q391" s="3">
        <v>-3.8550501156515036E-3</v>
      </c>
      <c r="R391" s="3">
        <v>1.3388271730385806E-2</v>
      </c>
      <c r="S391" s="3">
        <v>0</v>
      </c>
      <c r="T391" s="3">
        <v>2.9184492628289517E-2</v>
      </c>
      <c r="U391" s="3">
        <v>1.938400467783508E-2</v>
      </c>
      <c r="V391" s="3">
        <v>-3.0612253509886212E-2</v>
      </c>
      <c r="W391" s="3">
        <v>-6.0850978847493443E-3</v>
      </c>
      <c r="X391" s="3">
        <v>0</v>
      </c>
      <c r="Y391" s="3">
        <v>-7.957559959429112E-3</v>
      </c>
      <c r="Z391" s="3">
        <v>-1.2605042016806704E-2</v>
      </c>
      <c r="AA391" s="3">
        <v>-4.3467634757786547E-2</v>
      </c>
      <c r="AB391" s="3">
        <v>-3.2062570386271927E-3</v>
      </c>
      <c r="AC391" s="3">
        <v>-4.2717084954859638E-2</v>
      </c>
      <c r="AD391" s="3">
        <v>1.3152983185511877E-2</v>
      </c>
      <c r="AE391" s="3">
        <v>-8.7254518310906776E-2</v>
      </c>
      <c r="AF391" s="3">
        <v>-4.0387717311703451E-2</v>
      </c>
      <c r="AG391" s="3">
        <v>1.0454545454545473E-2</v>
      </c>
      <c r="AH391" s="3">
        <v>1.3698637039191806E-2</v>
      </c>
      <c r="AI391" s="3">
        <v>2.7661935973386713E-3</v>
      </c>
      <c r="AJ391" s="3">
        <v>-1.5008360314792428E-2</v>
      </c>
      <c r="AK391" s="3">
        <v>-1.630434782608697E-2</v>
      </c>
      <c r="AL391" s="3">
        <v>-5.8546038203634802E-3</v>
      </c>
      <c r="AM391" s="3">
        <v>-3.7591529985672632E-2</v>
      </c>
      <c r="AN391" s="3">
        <v>-1.8063483192522548E-2</v>
      </c>
    </row>
    <row r="392" spans="1:40" x14ac:dyDescent="0.3">
      <c r="A392" s="101">
        <v>44875</v>
      </c>
      <c r="B392" s="3">
        <v>4.5926235487216988E-3</v>
      </c>
      <c r="C392" s="3">
        <v>-3.6197425126834794E-3</v>
      </c>
      <c r="D392" s="3">
        <v>2.3573986389031402E-3</v>
      </c>
      <c r="E392" s="3">
        <v>8.4563424529410305E-3</v>
      </c>
      <c r="F392" s="3">
        <v>5.1383399209486164E-3</v>
      </c>
      <c r="G392" s="3">
        <v>7.1135321148232209E-3</v>
      </c>
      <c r="H392" s="3">
        <v>-1.4329703141875808E-4</v>
      </c>
      <c r="I392" s="3">
        <v>-2.0824102791315854E-2</v>
      </c>
      <c r="J392" s="3">
        <v>-3.363606560451024E-3</v>
      </c>
      <c r="K392" s="3">
        <v>2.3573986389031402E-3</v>
      </c>
      <c r="L392" s="3">
        <v>1.3467512083464977E-2</v>
      </c>
      <c r="M392" s="3">
        <v>-1.1904761904761828E-2</v>
      </c>
      <c r="N392" s="3">
        <v>1.9136518135603471E-2</v>
      </c>
      <c r="O392" s="3">
        <v>-3.6197425126834794E-3</v>
      </c>
      <c r="P392" s="3">
        <v>-1.6657412548584749E-3</v>
      </c>
      <c r="Q392" s="3">
        <v>1.1609907120743035E-2</v>
      </c>
      <c r="R392" s="3">
        <v>3.3197856182840949E-2</v>
      </c>
      <c r="S392" s="3">
        <v>0</v>
      </c>
      <c r="T392" s="3">
        <v>-1.7723019093710782E-2</v>
      </c>
      <c r="U392" s="3">
        <v>4.6561223066022471E-2</v>
      </c>
      <c r="V392" s="3">
        <v>-1.3533856263015355E-2</v>
      </c>
      <c r="W392" s="3">
        <v>-4.5919158729868376E-3</v>
      </c>
      <c r="X392" s="3">
        <v>2.2580645161290416E-3</v>
      </c>
      <c r="Y392" s="3">
        <v>1.1469216558866411E-2</v>
      </c>
      <c r="Z392" s="3">
        <v>1.9858156028368875E-2</v>
      </c>
      <c r="AA392" s="3">
        <v>-9.497739726027422E-3</v>
      </c>
      <c r="AB392" s="3">
        <v>-6.129822620729984E-3</v>
      </c>
      <c r="AC392" s="3">
        <v>-6.7608176414524039E-4</v>
      </c>
      <c r="AD392" s="3">
        <v>2.4522138975932833E-2</v>
      </c>
      <c r="AE392" s="3">
        <v>1.2081805054151641E-2</v>
      </c>
      <c r="AF392" s="3">
        <v>-4.7137246348853169E-3</v>
      </c>
      <c r="AG392" s="3">
        <v>-2.2492127755285971E-3</v>
      </c>
      <c r="AH392" s="3">
        <v>-3.2760039002018904E-2</v>
      </c>
      <c r="AI392" s="3">
        <v>1.2412533337688326E-3</v>
      </c>
      <c r="AJ392" s="3">
        <v>1.9796161035329413E-2</v>
      </c>
      <c r="AK392" s="3">
        <v>-5.5248618784530433E-2</v>
      </c>
      <c r="AL392" s="3">
        <v>1.5241770544472193E-2</v>
      </c>
      <c r="AM392" s="3">
        <v>-2.1044222897058976E-3</v>
      </c>
      <c r="AN392" s="3">
        <v>-1.8468922604946282E-3</v>
      </c>
    </row>
    <row r="393" spans="1:40" x14ac:dyDescent="0.3">
      <c r="A393" s="101">
        <v>44876</v>
      </c>
      <c r="B393" s="3">
        <v>2.0473009104743201E-2</v>
      </c>
      <c r="C393" s="3">
        <v>-5.689287316753504E-3</v>
      </c>
      <c r="D393" s="3">
        <v>-1.9151269921652675E-3</v>
      </c>
      <c r="E393" s="3">
        <v>1.6471227511478559E-2</v>
      </c>
      <c r="F393" s="3">
        <v>-2.2021234762092019E-2</v>
      </c>
      <c r="G393" s="3">
        <v>-1.4287996736519174E-2</v>
      </c>
      <c r="H393" s="3">
        <v>-1.6364866531347378E-3</v>
      </c>
      <c r="I393" s="3">
        <v>0</v>
      </c>
      <c r="J393" s="3">
        <v>4.413231589489133E-3</v>
      </c>
      <c r="K393" s="3">
        <v>-1.9151269921652675E-3</v>
      </c>
      <c r="L393" s="3">
        <v>8.4563424529410305E-3</v>
      </c>
      <c r="M393" s="3">
        <v>5.0953790160642477E-2</v>
      </c>
      <c r="N393" s="3">
        <v>5.9198846671296703E-3</v>
      </c>
      <c r="O393" s="3">
        <v>-5.689287316753504E-3</v>
      </c>
      <c r="P393" s="3">
        <v>-1.3904338153503892E-2</v>
      </c>
      <c r="Q393" s="3">
        <v>-3.06044376434583E-3</v>
      </c>
      <c r="R393" s="3">
        <v>-4.1803356378187929E-3</v>
      </c>
      <c r="S393" s="3">
        <v>0</v>
      </c>
      <c r="T393" s="3">
        <v>-2.3137394165390214E-2</v>
      </c>
      <c r="U393" s="3">
        <v>-2.8866891152969391E-3</v>
      </c>
      <c r="V393" s="3">
        <v>-7.6219566003671614E-3</v>
      </c>
      <c r="W393" s="3">
        <v>-2.4602748450812801E-2</v>
      </c>
      <c r="X393" s="3">
        <v>-1.8345671065336345E-2</v>
      </c>
      <c r="Y393" s="3">
        <v>-1.1339165217391383E-2</v>
      </c>
      <c r="Z393" s="3">
        <v>-1.5299026425591142E-2</v>
      </c>
      <c r="AA393" s="3">
        <v>-6.419875954726996E-2</v>
      </c>
      <c r="AB393" s="3">
        <v>-1.1724400700655441E-2</v>
      </c>
      <c r="AC393" s="3">
        <v>-1.1437284797966263E-2</v>
      </c>
      <c r="AD393" s="3">
        <v>-6.6877963236394999E-3</v>
      </c>
      <c r="AE393" s="3">
        <v>-2.240079954344144E-2</v>
      </c>
      <c r="AF393" s="3">
        <v>5.1082410837801677E-2</v>
      </c>
      <c r="AG393" s="3">
        <v>1.2623940486925164E-2</v>
      </c>
      <c r="AH393" s="3">
        <v>-1.3971217872853714E-2</v>
      </c>
      <c r="AI393" s="3">
        <v>-2.3832329210775331E-2</v>
      </c>
      <c r="AJ393" s="3">
        <v>3.2115568859436634E-3</v>
      </c>
      <c r="AK393" s="3">
        <v>-4.0935672514619922E-2</v>
      </c>
      <c r="AL393" s="3">
        <v>-8.7358640412075559E-3</v>
      </c>
      <c r="AM393" s="3">
        <v>-2.3261418519280971E-2</v>
      </c>
      <c r="AN393" s="3">
        <v>-1.3839074495288917E-2</v>
      </c>
    </row>
    <row r="394" spans="1:40" x14ac:dyDescent="0.3">
      <c r="A394" s="101">
        <v>44879</v>
      </c>
      <c r="B394" s="3">
        <v>7.7132835985263548E-2</v>
      </c>
      <c r="C394" s="3">
        <v>-5.2391068814307542E-3</v>
      </c>
      <c r="D394" s="3">
        <v>-3.4877207029648666E-3</v>
      </c>
      <c r="E394" s="3">
        <v>-6.0187459546958118E-3</v>
      </c>
      <c r="F394" s="3">
        <v>-3.1363088057901084E-2</v>
      </c>
      <c r="G394" s="3">
        <v>-1.6788264610644605E-3</v>
      </c>
      <c r="H394" s="3">
        <v>3.371814303169356E-4</v>
      </c>
      <c r="I394" s="3">
        <v>-2.1719411764706015E-2</v>
      </c>
      <c r="J394" s="3">
        <v>-1.0337109901761309E-3</v>
      </c>
      <c r="K394" s="3">
        <v>-3.4877207029648666E-3</v>
      </c>
      <c r="L394" s="3">
        <v>1.6471227511478559E-2</v>
      </c>
      <c r="M394" s="3">
        <v>-6.9261286583742121E-3</v>
      </c>
      <c r="N394" s="3">
        <v>-2.013792092732845E-2</v>
      </c>
      <c r="O394" s="3">
        <v>-5.2391068814307542E-3</v>
      </c>
      <c r="P394" s="3">
        <v>-5.0761985335589892E-3</v>
      </c>
      <c r="Q394" s="3">
        <v>-2.3791250959324637E-2</v>
      </c>
      <c r="R394" s="3">
        <v>-2.0330910776213493E-2</v>
      </c>
      <c r="S394" s="3">
        <v>0</v>
      </c>
      <c r="T394" s="3">
        <v>3.3898333729393958E-2</v>
      </c>
      <c r="U394" s="3">
        <v>-1.2602197855792785E-2</v>
      </c>
      <c r="V394" s="3">
        <v>-1.5360867002384314E-3</v>
      </c>
      <c r="W394" s="3">
        <v>3.6785214789194511E-3</v>
      </c>
      <c r="X394" s="3">
        <v>-2.4590163934426229E-2</v>
      </c>
      <c r="Y394" s="3">
        <v>5.6993950780817818E-3</v>
      </c>
      <c r="Z394" s="3">
        <v>-1.5536723163841852E-2</v>
      </c>
      <c r="AA394" s="3">
        <v>-5.8720868481390706E-3</v>
      </c>
      <c r="AB394" s="3">
        <v>2.1502731516160313E-2</v>
      </c>
      <c r="AC394" s="3">
        <v>3.5947070602882006E-2</v>
      </c>
      <c r="AD394" s="3">
        <v>3.8980217457649674E-3</v>
      </c>
      <c r="AE394" s="3">
        <v>2.2427637716940254E-2</v>
      </c>
      <c r="AF394" s="3">
        <v>1.6092665325315233E-3</v>
      </c>
      <c r="AG394" s="3">
        <v>1.7809885031606714E-3</v>
      </c>
      <c r="AH394" s="3">
        <v>2.189775822894479E-2</v>
      </c>
      <c r="AI394" s="3">
        <v>1.6511402819558308E-2</v>
      </c>
      <c r="AJ394" s="3">
        <v>-7.8123933378686956E-3</v>
      </c>
      <c r="AK394" s="3">
        <v>3.0487804878048811E-2</v>
      </c>
      <c r="AL394" s="3">
        <v>8.9531054316519098E-3</v>
      </c>
      <c r="AM394" s="3">
        <v>1.7537735891437707E-2</v>
      </c>
      <c r="AN394" s="3">
        <v>1.1086220549518308E-2</v>
      </c>
    </row>
    <row r="395" spans="1:40" x14ac:dyDescent="0.3">
      <c r="A395" s="101">
        <v>44880</v>
      </c>
      <c r="B395" s="3">
        <v>1.2658266504608233E-2</v>
      </c>
      <c r="C395" s="3">
        <v>1.7325785414740024E-3</v>
      </c>
      <c r="D395" s="3">
        <v>1.6683972000478941E-3</v>
      </c>
      <c r="E395" s="3">
        <v>5.0390144260789201E-3</v>
      </c>
      <c r="F395" s="3">
        <v>1.2453300124533001E-2</v>
      </c>
      <c r="G395" s="3">
        <v>-3.8554735560927182E-3</v>
      </c>
      <c r="H395" s="3">
        <v>-8.5435000984516226E-4</v>
      </c>
      <c r="I395" s="3">
        <v>2.4514291188053143E-2</v>
      </c>
      <c r="J395" s="3">
        <v>-1.1645056516186084E-3</v>
      </c>
      <c r="K395" s="3">
        <v>1.6683972000478941E-3</v>
      </c>
      <c r="L395" s="3">
        <v>-6.0187459546958118E-3</v>
      </c>
      <c r="M395" s="3">
        <v>2.0442471359188471E-2</v>
      </c>
      <c r="N395" s="3">
        <v>1.8768397348077124E-3</v>
      </c>
      <c r="O395" s="3">
        <v>1.7325785414740024E-3</v>
      </c>
      <c r="P395" s="3">
        <v>1.5306180006019309E-2</v>
      </c>
      <c r="Q395" s="3">
        <v>7.5471698113207544E-2</v>
      </c>
      <c r="R395" s="3">
        <v>8.233945770726496E-3</v>
      </c>
      <c r="S395" s="3">
        <v>0</v>
      </c>
      <c r="T395" s="3">
        <v>5.4644818023550732E-3</v>
      </c>
      <c r="U395" s="3">
        <v>2.259396253322166E-2</v>
      </c>
      <c r="V395" s="3">
        <v>-4.6153497105191586E-3</v>
      </c>
      <c r="W395" s="3">
        <v>1.7434494644615793E-2</v>
      </c>
      <c r="X395" s="3">
        <v>-4.5042016806722686E-2</v>
      </c>
      <c r="Y395" s="3">
        <v>1.8191353301192465E-3</v>
      </c>
      <c r="Z395" s="3">
        <v>2.295552367288381E-2</v>
      </c>
      <c r="AA395" s="3">
        <v>4.2358372638939379E-2</v>
      </c>
      <c r="AB395" s="3">
        <v>3.5446383234719582E-2</v>
      </c>
      <c r="AC395" s="3">
        <v>1.5540954093512317E-2</v>
      </c>
      <c r="AD395" s="3">
        <v>1.9767001420554837E-2</v>
      </c>
      <c r="AE395" s="3">
        <v>3.0643328309034584E-2</v>
      </c>
      <c r="AF395" s="3">
        <v>8.3547750762645225E-3</v>
      </c>
      <c r="AG395" s="3">
        <v>3.4222222222222203E-2</v>
      </c>
      <c r="AH395" s="3">
        <v>3.5294075647016428E-2</v>
      </c>
      <c r="AI395" s="3">
        <v>3.5124210447815614E-2</v>
      </c>
      <c r="AJ395" s="3">
        <v>1.4090259364512525E-2</v>
      </c>
      <c r="AK395" s="3">
        <v>5.3254437869822535E-2</v>
      </c>
      <c r="AL395" s="3">
        <v>2.948615005870725E-2</v>
      </c>
      <c r="AM395" s="3">
        <v>2.1038396183915446E-2</v>
      </c>
      <c r="AN395" s="3">
        <v>2.7986502770345655E-2</v>
      </c>
    </row>
    <row r="396" spans="1:40" x14ac:dyDescent="0.3">
      <c r="A396" s="101">
        <v>44881</v>
      </c>
      <c r="B396" s="3">
        <v>4.1071178371004718E-3</v>
      </c>
      <c r="C396" s="3">
        <v>3.3204832213392195E-3</v>
      </c>
      <c r="D396" s="3">
        <v>-3.6068947908658206E-3</v>
      </c>
      <c r="E396" s="3">
        <v>8.7212118739268766E-3</v>
      </c>
      <c r="F396" s="3">
        <v>-3.9360393603936041E-2</v>
      </c>
      <c r="G396" s="3">
        <v>-3.499777730880213E-3</v>
      </c>
      <c r="H396" s="3">
        <v>1.2057971789022615E-3</v>
      </c>
      <c r="I396" s="3">
        <v>-4.5147178329570607E-3</v>
      </c>
      <c r="J396" s="3">
        <v>-9.5841796634386286E-3</v>
      </c>
      <c r="K396" s="3">
        <v>-3.6068947908658206E-3</v>
      </c>
      <c r="L396" s="3">
        <v>5.0390144260789201E-3</v>
      </c>
      <c r="M396" s="3">
        <v>-8.4845628093330062E-3</v>
      </c>
      <c r="N396" s="3">
        <v>3.2784092562933337E-3</v>
      </c>
      <c r="O396" s="3">
        <v>3.3204832213392195E-3</v>
      </c>
      <c r="P396" s="3">
        <v>1.6750362925739792E-2</v>
      </c>
      <c r="Q396" s="3">
        <v>-7.3099415204678359E-3</v>
      </c>
      <c r="R396" s="3">
        <v>-4.1666680583633486E-2</v>
      </c>
      <c r="S396" s="3">
        <v>0</v>
      </c>
      <c r="T396" s="3">
        <v>-1.2542051755773909E-3</v>
      </c>
      <c r="U396" s="3">
        <v>-3.0359250977376354E-2</v>
      </c>
      <c r="V396" s="3">
        <v>7.7279804072310646E-3</v>
      </c>
      <c r="W396" s="3">
        <v>-3.771934857099718E-2</v>
      </c>
      <c r="X396" s="3">
        <v>3.8718760999648064E-2</v>
      </c>
      <c r="Y396" s="3">
        <v>-7.1932256834524397E-3</v>
      </c>
      <c r="Z396" s="3">
        <v>-8.4151472650770848E-3</v>
      </c>
      <c r="AA396" s="3">
        <v>1.6363193226886341E-2</v>
      </c>
      <c r="AB396" s="3">
        <v>2.2783153931065236E-2</v>
      </c>
      <c r="AC396" s="3">
        <v>2.4007930510256376E-2</v>
      </c>
      <c r="AD396" s="3">
        <v>-1.6268582752733723E-2</v>
      </c>
      <c r="AE396" s="3">
        <v>0.18227137537567753</v>
      </c>
      <c r="AF396" s="3">
        <v>1.4659161347459487E-2</v>
      </c>
      <c r="AG396" s="3">
        <v>2.1486892995273188E-3</v>
      </c>
      <c r="AH396" s="3">
        <v>0</v>
      </c>
      <c r="AI396" s="3">
        <v>5.3655601612185937E-4</v>
      </c>
      <c r="AJ396" s="3">
        <v>-6.0715604029238255E-3</v>
      </c>
      <c r="AK396" s="3">
        <v>5.0561797752809036E-2</v>
      </c>
      <c r="AL396" s="3">
        <v>4.6205226725877296E-3</v>
      </c>
      <c r="AM396" s="3">
        <v>3.9962913329439041E-3</v>
      </c>
      <c r="AN396" s="3">
        <v>-3.6897330707956207E-5</v>
      </c>
    </row>
    <row r="397" spans="1:40" x14ac:dyDescent="0.3">
      <c r="A397" s="101">
        <v>44882</v>
      </c>
      <c r="B397" s="3">
        <v>2.9877308611485309E-2</v>
      </c>
      <c r="C397" s="3">
        <v>-2.0684767210431949E-3</v>
      </c>
      <c r="D397" s="3">
        <v>-1.9355882047471403E-3</v>
      </c>
      <c r="E397" s="3">
        <v>1.5495803210732222E-2</v>
      </c>
      <c r="F397" s="3">
        <v>-2.6461801109688432E-2</v>
      </c>
      <c r="G397" s="3">
        <v>2.512189860140655E-2</v>
      </c>
      <c r="H397" s="3">
        <v>-4.0734216742063512E-3</v>
      </c>
      <c r="I397" s="3">
        <v>1.5419501833083977E-2</v>
      </c>
      <c r="J397" s="3">
        <v>-3.1384650732913968E-3</v>
      </c>
      <c r="K397" s="3">
        <v>-1.9355882047471403E-3</v>
      </c>
      <c r="L397" s="3">
        <v>8.7212118739268766E-3</v>
      </c>
      <c r="M397" s="3">
        <v>2.0204373662942698E-2</v>
      </c>
      <c r="N397" s="3">
        <v>6.1617916517011278E-3</v>
      </c>
      <c r="O397" s="3">
        <v>-2.0684767210431949E-3</v>
      </c>
      <c r="P397" s="3">
        <v>-8.2372327422971618E-3</v>
      </c>
      <c r="Q397" s="3">
        <v>-3.6818851251840942E-3</v>
      </c>
      <c r="R397" s="3">
        <v>-7.6521254856602898E-3</v>
      </c>
      <c r="S397" s="3">
        <v>2.1671821257798207E-2</v>
      </c>
      <c r="T397" s="3">
        <v>3.0766033098368405E-2</v>
      </c>
      <c r="U397" s="3">
        <v>4.1746718795008806E-3</v>
      </c>
      <c r="V397" s="3">
        <v>-1.5337940438372752E-3</v>
      </c>
      <c r="W397" s="3">
        <v>8.5561634883930503E-3</v>
      </c>
      <c r="X397" s="3">
        <v>-3.3886818027787672E-3</v>
      </c>
      <c r="Y397" s="3">
        <v>2.2298803536893692E-2</v>
      </c>
      <c r="Z397" s="3">
        <v>2.5459688826025419E-2</v>
      </c>
      <c r="AA397" s="3">
        <v>-6.0956445255121387E-2</v>
      </c>
      <c r="AB397" s="3">
        <v>-2.9700978396964696E-3</v>
      </c>
      <c r="AC397" s="3">
        <v>-2.2385981500400174E-3</v>
      </c>
      <c r="AD397" s="3">
        <v>-1.0907812368041928E-2</v>
      </c>
      <c r="AE397" s="3">
        <v>-8.1966541961750419E-2</v>
      </c>
      <c r="AF397" s="3">
        <v>-2.4183570364859082E-2</v>
      </c>
      <c r="AG397" s="3">
        <v>-4.7170240137221469E-3</v>
      </c>
      <c r="AH397" s="3">
        <v>3.2467377859192984E-3</v>
      </c>
      <c r="AI397" s="3">
        <v>-2.3257456097763269E-2</v>
      </c>
      <c r="AJ397" s="3">
        <v>-1.262845894384905E-2</v>
      </c>
      <c r="AK397" s="3">
        <v>0</v>
      </c>
      <c r="AL397" s="3">
        <v>-4.1319251840895499E-3</v>
      </c>
      <c r="AM397" s="3">
        <v>-2.7194014357568706E-2</v>
      </c>
      <c r="AN397" s="3">
        <v>-1.1279646360663512E-2</v>
      </c>
    </row>
    <row r="398" spans="1:40" x14ac:dyDescent="0.3">
      <c r="A398" s="101">
        <v>44883</v>
      </c>
      <c r="B398" s="3">
        <v>-5.1805803412986371E-4</v>
      </c>
      <c r="C398" s="3">
        <v>-1.3749685117066313E-2</v>
      </c>
      <c r="D398" s="3">
        <v>-5.8055171342934917E-3</v>
      </c>
      <c r="E398" s="3">
        <v>1.2749811723865823E-3</v>
      </c>
      <c r="F398" s="3">
        <v>8.3296799649276634E-3</v>
      </c>
      <c r="G398" s="3">
        <v>-4.1676786577748023E-2</v>
      </c>
      <c r="H398" s="3">
        <v>-5.5974836446953816E-3</v>
      </c>
      <c r="I398" s="3">
        <v>-1.1612327450304844E-2</v>
      </c>
      <c r="J398" s="3">
        <v>-7.8703279772413687E-4</v>
      </c>
      <c r="K398" s="3">
        <v>-5.8055171342934917E-3</v>
      </c>
      <c r="L398" s="3">
        <v>1.5495803210732222E-2</v>
      </c>
      <c r="M398" s="3">
        <v>-1.863886386947088E-3</v>
      </c>
      <c r="N398" s="3">
        <v>2.8766090513553328E-3</v>
      </c>
      <c r="O398" s="3">
        <v>-1.3749685117066313E-2</v>
      </c>
      <c r="P398" s="3">
        <v>-4.983388980254088E-3</v>
      </c>
      <c r="Q398" s="3">
        <v>1.0347376201034738E-2</v>
      </c>
      <c r="R398" s="3">
        <v>-1.0515958313127623E-3</v>
      </c>
      <c r="S398" s="3">
        <v>-3.0302494634240249E-3</v>
      </c>
      <c r="T398" s="3">
        <v>-2.6395964134380241E-2</v>
      </c>
      <c r="U398" s="3">
        <v>9.5270813435615054E-3</v>
      </c>
      <c r="V398" s="3">
        <v>-3.9938508295074886E-2</v>
      </c>
      <c r="W398" s="3">
        <v>-1.0074251162365258E-2</v>
      </c>
      <c r="X398" s="3">
        <v>-1.3940836450187016E-2</v>
      </c>
      <c r="Y398" s="3">
        <v>9.495664907511546E-3</v>
      </c>
      <c r="Z398" s="3">
        <v>2.7586206896551137E-3</v>
      </c>
      <c r="AA398" s="3">
        <v>1.3179928036223689E-2</v>
      </c>
      <c r="AB398" s="3">
        <v>2.8013228845435657E-2</v>
      </c>
      <c r="AC398" s="3">
        <v>-2.1225819693823338E-4</v>
      </c>
      <c r="AD398" s="3">
        <v>1.2806766552921837E-2</v>
      </c>
      <c r="AE398" s="3">
        <v>-2.4841533452576236E-2</v>
      </c>
      <c r="AF398" s="3">
        <v>4.8278679316298709E-3</v>
      </c>
      <c r="AG398" s="3">
        <v>6.4628180294191585E-3</v>
      </c>
      <c r="AH398" s="3">
        <v>0</v>
      </c>
      <c r="AI398" s="3">
        <v>-6.9305738750613452E-3</v>
      </c>
      <c r="AJ398" s="3">
        <v>5.7109053184287335E-3</v>
      </c>
      <c r="AK398" s="3">
        <v>-3.2085561497326227E-2</v>
      </c>
      <c r="AL398" s="3">
        <v>3.8418429265153881E-3</v>
      </c>
      <c r="AM398" s="3">
        <v>1.0801522094926945E-3</v>
      </c>
      <c r="AN398" s="3">
        <v>-1.124756098180639E-2</v>
      </c>
    </row>
    <row r="399" spans="1:40" x14ac:dyDescent="0.3">
      <c r="A399" s="101">
        <v>44887</v>
      </c>
      <c r="B399" s="3">
        <v>6.9108460500413409E-3</v>
      </c>
      <c r="C399" s="3">
        <v>1.9617703090318048E-3</v>
      </c>
      <c r="D399" s="3">
        <v>-5.510204972595257E-4</v>
      </c>
      <c r="E399" s="3">
        <v>-6.2848971180327843E-3</v>
      </c>
      <c r="F399" s="3">
        <v>4.3478260869565219E-4</v>
      </c>
      <c r="G399" s="3">
        <v>-1.3669246586247614E-2</v>
      </c>
      <c r="H399" s="3">
        <v>2.2165629126579991E-3</v>
      </c>
      <c r="I399" s="3">
        <v>-3.1631271198882694E-3</v>
      </c>
      <c r="J399" s="3">
        <v>2.8882391109824913E-3</v>
      </c>
      <c r="K399" s="3">
        <v>-5.510204972595257E-4</v>
      </c>
      <c r="L399" s="3">
        <v>1.2749811723865823E-3</v>
      </c>
      <c r="M399" s="3">
        <v>-1.5639635854341822E-2</v>
      </c>
      <c r="N399" s="3">
        <v>-2.8683579070374224E-3</v>
      </c>
      <c r="O399" s="3">
        <v>1.9617703090318048E-3</v>
      </c>
      <c r="P399" s="3">
        <v>2.9493657734761064E-2</v>
      </c>
      <c r="Q399" s="3">
        <v>3.8039502560351136E-2</v>
      </c>
      <c r="R399" s="3">
        <v>1.3245653860745003E-2</v>
      </c>
      <c r="S399" s="3">
        <v>0</v>
      </c>
      <c r="T399" s="3">
        <v>-1.8768971986540847E-3</v>
      </c>
      <c r="U399" s="3">
        <v>1.612903169833645E-2</v>
      </c>
      <c r="V399" s="3">
        <v>2.56000037064846E-2</v>
      </c>
      <c r="W399" s="3">
        <v>1.3926099175544561E-2</v>
      </c>
      <c r="X399" s="3">
        <v>5.2068965517241432E-2</v>
      </c>
      <c r="Y399" s="3">
        <v>1.0633201046742572E-2</v>
      </c>
      <c r="Z399" s="3">
        <v>1.3755158184320048E-3</v>
      </c>
      <c r="AA399" s="3">
        <v>-4.9772430023526472E-2</v>
      </c>
      <c r="AB399" s="3">
        <v>-2.0674311416490218E-2</v>
      </c>
      <c r="AC399" s="3">
        <v>1.4374495830174307E-2</v>
      </c>
      <c r="AD399" s="3">
        <v>-2.4587186079048497E-2</v>
      </c>
      <c r="AE399" s="3">
        <v>-3.19738364231189E-2</v>
      </c>
      <c r="AF399" s="3">
        <v>-2.850741673703559E-2</v>
      </c>
      <c r="AG399" s="3">
        <v>-6.4213182182655147E-3</v>
      </c>
      <c r="AH399" s="3">
        <v>-5.7443359008493219E-2</v>
      </c>
      <c r="AI399" s="3">
        <v>-1.5478228172506865E-2</v>
      </c>
      <c r="AJ399" s="3">
        <v>-1.3131427218396916E-2</v>
      </c>
      <c r="AK399" s="3">
        <v>6.0773480662983353E-2</v>
      </c>
      <c r="AL399" s="3">
        <v>-1.3253774745173556E-2</v>
      </c>
      <c r="AM399" s="3">
        <v>-1.1607715582853883E-2</v>
      </c>
      <c r="AN399" s="3">
        <v>-1.5356078019322247E-2</v>
      </c>
    </row>
    <row r="400" spans="1:40" x14ac:dyDescent="0.3">
      <c r="A400" s="101">
        <v>44888</v>
      </c>
      <c r="B400" s="3">
        <v>5.1476906758977448E-4</v>
      </c>
      <c r="C400" s="3">
        <v>-2.3075049871897598E-3</v>
      </c>
      <c r="D400" s="3">
        <v>1.8947055839505387E-3</v>
      </c>
      <c r="E400" s="3">
        <v>-4.2247026894694326E-2</v>
      </c>
      <c r="F400" s="3">
        <v>-2.5206431986093004E-2</v>
      </c>
      <c r="G400" s="3">
        <v>3.5819837870876424E-3</v>
      </c>
      <c r="H400" s="3">
        <v>3.2603507734089965E-3</v>
      </c>
      <c r="I400" s="3">
        <v>6.7996376609082611E-3</v>
      </c>
      <c r="J400" s="3">
        <v>5.2366102116101481E-4</v>
      </c>
      <c r="K400" s="3">
        <v>1.8947055839505387E-3</v>
      </c>
      <c r="L400" s="3">
        <v>-6.2848971180327843E-3</v>
      </c>
      <c r="M400" s="3">
        <v>1.991937490725049E-2</v>
      </c>
      <c r="N400" s="3">
        <v>1.5774401452498615E-2</v>
      </c>
      <c r="O400" s="3">
        <v>-2.3075049871897598E-3</v>
      </c>
      <c r="P400" s="3">
        <v>1.8918918918918996E-2</v>
      </c>
      <c r="Q400" s="3">
        <v>4.2283298097251587E-3</v>
      </c>
      <c r="R400" s="3">
        <v>3.8871090930533349E-2</v>
      </c>
      <c r="S400" s="3">
        <v>0</v>
      </c>
      <c r="T400" s="3">
        <v>2.1938985286369155E-2</v>
      </c>
      <c r="U400" s="3">
        <v>2.3302916328011011E-2</v>
      </c>
      <c r="V400" s="3">
        <v>0</v>
      </c>
      <c r="W400" s="3">
        <v>-1.6904349032131866E-2</v>
      </c>
      <c r="X400" s="3">
        <v>-2.9826286463454608E-2</v>
      </c>
      <c r="Y400" s="3">
        <v>-1.1870297110128875E-2</v>
      </c>
      <c r="Z400" s="3">
        <v>-8.2417582417583096E-3</v>
      </c>
      <c r="AA400" s="3">
        <v>-8.1745803670689211E-3</v>
      </c>
      <c r="AB400" s="3">
        <v>-8.0231453152339923E-3</v>
      </c>
      <c r="AC400" s="3">
        <v>-2.2422195653747368E-3</v>
      </c>
      <c r="AD400" s="3">
        <v>8.2822764712233415E-3</v>
      </c>
      <c r="AE400" s="3">
        <v>-1.6672449681618543E-3</v>
      </c>
      <c r="AF400" s="3">
        <v>-1.6284359991181229E-2</v>
      </c>
      <c r="AG400" s="3">
        <v>8.1861701071162807E-3</v>
      </c>
      <c r="AH400" s="3">
        <v>-1.2875410157172411E-2</v>
      </c>
      <c r="AI400" s="3">
        <v>-1.7405930200945163E-2</v>
      </c>
      <c r="AJ400" s="3">
        <v>-8.6310035484321816E-3</v>
      </c>
      <c r="AK400" s="3">
        <v>-0.13541666666666669</v>
      </c>
      <c r="AL400" s="3">
        <v>-1.181963077914624E-2</v>
      </c>
      <c r="AM400" s="3">
        <v>-1.0867420970184529E-2</v>
      </c>
      <c r="AN400" s="3">
        <v>-2.8071298212473204E-3</v>
      </c>
    </row>
    <row r="401" spans="1:40" x14ac:dyDescent="0.3">
      <c r="A401" s="101">
        <v>44889</v>
      </c>
      <c r="B401" s="3">
        <v>-2.8983026494270363E-2</v>
      </c>
      <c r="C401" s="3">
        <v>5.6072152116790931E-4</v>
      </c>
      <c r="D401" s="3">
        <v>-2.4034779894973476E-3</v>
      </c>
      <c r="E401" s="3">
        <v>5.1360973038918831E-3</v>
      </c>
      <c r="F401" s="3">
        <v>-6.6874721355327689E-3</v>
      </c>
      <c r="G401" s="3">
        <v>-2.0820267155633575E-3</v>
      </c>
      <c r="H401" s="3">
        <v>9.7157636590232725E-4</v>
      </c>
      <c r="I401" s="3">
        <v>5.8532645589043043E-3</v>
      </c>
      <c r="J401" s="3">
        <v>3.1400939752654444E-3</v>
      </c>
      <c r="K401" s="3">
        <v>-2.4034779894973476E-3</v>
      </c>
      <c r="L401" s="3">
        <v>-4.2247026894694326E-2</v>
      </c>
      <c r="M401" s="3">
        <v>2.6738015658591602E-2</v>
      </c>
      <c r="N401" s="3">
        <v>-3.1789568630506519E-2</v>
      </c>
      <c r="O401" s="3">
        <v>5.6072152116790931E-4</v>
      </c>
      <c r="P401" s="3">
        <v>-2.1220689655172503E-3</v>
      </c>
      <c r="Q401" s="3">
        <v>-9.1228070175438589E-3</v>
      </c>
      <c r="R401" s="3">
        <v>-2.0833340291816743E-2</v>
      </c>
      <c r="S401" s="3">
        <v>0</v>
      </c>
      <c r="T401" s="3">
        <v>4.4980630657738292E-3</v>
      </c>
      <c r="U401" s="3">
        <v>-7.9207710300951469E-3</v>
      </c>
      <c r="V401" s="3">
        <v>0</v>
      </c>
      <c r="W401" s="3">
        <v>8.5974779907836158E-3</v>
      </c>
      <c r="X401" s="3">
        <v>2.7027027027026931E-2</v>
      </c>
      <c r="Y401" s="3">
        <v>-7.5762817410512575E-3</v>
      </c>
      <c r="Z401" s="3">
        <v>-1.6620498614958464E-2</v>
      </c>
      <c r="AA401" s="3">
        <v>1.8236620798119645E-2</v>
      </c>
      <c r="AB401" s="3">
        <v>2.8509045042558381E-2</v>
      </c>
      <c r="AC401" s="3">
        <v>2.3731090781179798E-2</v>
      </c>
      <c r="AD401" s="3">
        <v>8.5714471446157389E-3</v>
      </c>
      <c r="AE401" s="3">
        <v>-7.9485446903830609E-2</v>
      </c>
      <c r="AF401" s="3">
        <v>-1.351365198715137E-3</v>
      </c>
      <c r="AG401" s="3">
        <v>2.5213675213675211E-2</v>
      </c>
      <c r="AH401" s="3">
        <v>1.6086910975515213E-2</v>
      </c>
      <c r="AI401" s="3">
        <v>2.214296282238987E-2</v>
      </c>
      <c r="AJ401" s="3">
        <v>-9.0689680495100299E-3</v>
      </c>
      <c r="AK401" s="3">
        <v>3.6144578313253045E-2</v>
      </c>
      <c r="AL401" s="3">
        <v>1.6541261272422336E-2</v>
      </c>
      <c r="AM401" s="3">
        <v>1.1789474937531954E-2</v>
      </c>
      <c r="AN401" s="3">
        <v>2.4977570280924784E-2</v>
      </c>
    </row>
    <row r="402" spans="1:40" x14ac:dyDescent="0.3">
      <c r="A402" s="101">
        <v>44890</v>
      </c>
      <c r="B402" s="3">
        <v>-5.4750537750981303E-3</v>
      </c>
      <c r="C402" s="3">
        <v>2.8014813806739999E-3</v>
      </c>
      <c r="D402" s="3">
        <v>-4.6283706776336659E-3</v>
      </c>
      <c r="E402" s="3">
        <v>-3.0060977778065007E-4</v>
      </c>
      <c r="F402" s="3">
        <v>1.2567324955116697E-2</v>
      </c>
      <c r="G402" s="3">
        <v>-1.984162471326914E-2</v>
      </c>
      <c r="H402" s="3">
        <v>-3.1662728349857237E-3</v>
      </c>
      <c r="I402" s="3">
        <v>1.7904655326768878E-3</v>
      </c>
      <c r="J402" s="3">
        <v>-5.2174860417099139E-4</v>
      </c>
      <c r="K402" s="3">
        <v>-4.6283706776336659E-3</v>
      </c>
      <c r="L402" s="3">
        <v>5.1360973038918831E-3</v>
      </c>
      <c r="M402" s="3">
        <v>2.4909420289856554E-3</v>
      </c>
      <c r="N402" s="3">
        <v>3.3399408074892958E-2</v>
      </c>
      <c r="O402" s="3">
        <v>2.8014813806739999E-3</v>
      </c>
      <c r="P402" s="3">
        <v>2.2860235133452009E-2</v>
      </c>
      <c r="Q402" s="3">
        <v>2.3371104815864022E-2</v>
      </c>
      <c r="R402" s="3">
        <v>-2.7148986944630502E-2</v>
      </c>
      <c r="S402" s="3">
        <v>0</v>
      </c>
      <c r="T402" s="3">
        <v>4.1318863684887797E-2</v>
      </c>
      <c r="U402" s="3">
        <v>-9.9796136996333352E-4</v>
      </c>
      <c r="V402" s="3">
        <v>-2.6521052491749145E-2</v>
      </c>
      <c r="W402" s="3">
        <v>2.5039891264231253E-2</v>
      </c>
      <c r="X402" s="3">
        <v>2.7960526315789522E-2</v>
      </c>
      <c r="Y402" s="3">
        <v>1.5749711791597464E-2</v>
      </c>
      <c r="Z402" s="3">
        <v>1.6901408450704241E-2</v>
      </c>
      <c r="AA402" s="3">
        <v>-5.0277132922272039E-2</v>
      </c>
      <c r="AB402" s="3">
        <v>-3.9263786602944308E-2</v>
      </c>
      <c r="AC402" s="3">
        <v>-1.9785780954331495E-2</v>
      </c>
      <c r="AD402" s="3">
        <v>-3.1869256156310663E-3</v>
      </c>
      <c r="AE402" s="3">
        <v>7.3894247583659492E-2</v>
      </c>
      <c r="AF402" s="3">
        <v>6.0892120333033411E-3</v>
      </c>
      <c r="AG402" s="3">
        <v>3.8766152563568294E-2</v>
      </c>
      <c r="AH402" s="3">
        <v>2.1395171924437316E-3</v>
      </c>
      <c r="AI402" s="3">
        <v>-1.0691772544816543E-2</v>
      </c>
      <c r="AJ402" s="3">
        <v>-7.1994226524675848E-3</v>
      </c>
      <c r="AK402" s="3">
        <v>1.1627906976744196E-2</v>
      </c>
      <c r="AL402" s="3">
        <v>-1.7167841160085115E-2</v>
      </c>
      <c r="AM402" s="3">
        <v>-2.3105878137527083E-2</v>
      </c>
      <c r="AN402" s="3">
        <v>-2.5641173289776661E-2</v>
      </c>
    </row>
    <row r="403" spans="1:40" x14ac:dyDescent="0.3">
      <c r="A403" s="101">
        <v>44893</v>
      </c>
      <c r="B403" s="3">
        <v>-1.7581285084620781E-2</v>
      </c>
      <c r="C403" s="3">
        <v>-6.4258386842545416E-3</v>
      </c>
      <c r="D403" s="3">
        <v>-3.0579044499994099E-4</v>
      </c>
      <c r="E403" s="3">
        <v>-7.3879932740769294E-3</v>
      </c>
      <c r="F403" s="3">
        <v>1.3297872340425532E-2</v>
      </c>
      <c r="G403" s="3">
        <v>1.1902715185526247E-2</v>
      </c>
      <c r="H403" s="3">
        <v>1.5713767677988698E-3</v>
      </c>
      <c r="I403" s="3">
        <v>-3.1277928117870012E-3</v>
      </c>
      <c r="J403" s="3">
        <v>-8.0906570803677535E-3</v>
      </c>
      <c r="K403" s="3">
        <v>-3.0579044499994099E-4</v>
      </c>
      <c r="L403" s="3">
        <v>-3.0060977778065007E-4</v>
      </c>
      <c r="M403" s="3">
        <v>2.4621662525412102E-2</v>
      </c>
      <c r="N403" s="3">
        <v>1.2964434687000813E-2</v>
      </c>
      <c r="O403" s="3">
        <v>-6.4258386842545416E-3</v>
      </c>
      <c r="P403" s="3">
        <v>-7.796257796257723E-3</v>
      </c>
      <c r="Q403" s="3">
        <v>2.4221453287197232E-2</v>
      </c>
      <c r="R403" s="3">
        <v>-8.7412825714391483E-5</v>
      </c>
      <c r="S403" s="3">
        <v>2.4316048924326754E-2</v>
      </c>
      <c r="T403" s="3">
        <v>-1.7005422096754468E-2</v>
      </c>
      <c r="U403" s="3">
        <v>4.8618035576553385E-2</v>
      </c>
      <c r="V403" s="3">
        <v>0</v>
      </c>
      <c r="W403" s="3">
        <v>1.1434476739954265E-2</v>
      </c>
      <c r="X403" s="3">
        <v>-4.0639999999999989E-2</v>
      </c>
      <c r="Y403" s="3">
        <v>-2.0311462924894663E-4</v>
      </c>
      <c r="Z403" s="3">
        <v>-2.7700831024930158E-3</v>
      </c>
      <c r="AA403" s="3">
        <v>6.0954484718499661E-3</v>
      </c>
      <c r="AB403" s="3">
        <v>-6.5018118337103088E-3</v>
      </c>
      <c r="AC403" s="3">
        <v>-3.3143774854770369E-3</v>
      </c>
      <c r="AD403" s="3">
        <v>-1.0301980071789141E-2</v>
      </c>
      <c r="AE403" s="3">
        <v>7.9676783701127366E-2</v>
      </c>
      <c r="AF403" s="3">
        <v>-7.3972909616102601E-3</v>
      </c>
      <c r="AG403" s="3">
        <v>4.8154494382021858E-3</v>
      </c>
      <c r="AH403" s="3">
        <v>5.9777029253627089E-3</v>
      </c>
      <c r="AI403" s="3">
        <v>-4.5915654154121601E-3</v>
      </c>
      <c r="AJ403" s="3">
        <v>-8.3580285780346011E-3</v>
      </c>
      <c r="AK403" s="3">
        <v>-8.0459770114942472E-2</v>
      </c>
      <c r="AL403" s="3">
        <v>-1.405363205188098E-2</v>
      </c>
      <c r="AM403" s="3">
        <v>-7.3258518841601526E-3</v>
      </c>
      <c r="AN403" s="3">
        <v>6.789205881540296E-3</v>
      </c>
    </row>
    <row r="404" spans="1:40" x14ac:dyDescent="0.3">
      <c r="A404" s="101">
        <v>44894</v>
      </c>
      <c r="B404" s="3">
        <v>4.5372402615451106E-2</v>
      </c>
      <c r="C404" s="3">
        <v>-1.2302258977988352E-2</v>
      </c>
      <c r="D404" s="3">
        <v>-2.083450072124422E-3</v>
      </c>
      <c r="E404" s="3">
        <v>2.2545422996996196E-2</v>
      </c>
      <c r="F404" s="3">
        <v>1.4873140857392825E-2</v>
      </c>
      <c r="G404" s="3">
        <v>-2.4040551008495222E-2</v>
      </c>
      <c r="H404" s="3">
        <v>-3.1545847078069834E-3</v>
      </c>
      <c r="I404" s="3">
        <v>-1.344598894872323E-3</v>
      </c>
      <c r="J404" s="3">
        <v>-2.4997642195605527E-3</v>
      </c>
      <c r="K404" s="3">
        <v>-2.083450072124422E-3</v>
      </c>
      <c r="L404" s="3">
        <v>-7.3879932740769294E-3</v>
      </c>
      <c r="M404" s="3">
        <v>-1.719574477081684E-2</v>
      </c>
      <c r="N404" s="3">
        <v>-2.4334062749696559E-3</v>
      </c>
      <c r="O404" s="3">
        <v>-1.2302258977988352E-2</v>
      </c>
      <c r="P404" s="3">
        <v>1.1000471451021468E-2</v>
      </c>
      <c r="Q404" s="3">
        <v>9.45945945945946E-3</v>
      </c>
      <c r="R404" s="3">
        <v>1.6622828294603896E-2</v>
      </c>
      <c r="S404" s="3">
        <v>0</v>
      </c>
      <c r="T404" s="3">
        <v>1.789645224084132E-3</v>
      </c>
      <c r="U404" s="3">
        <v>2.1276574905163322E-2</v>
      </c>
      <c r="V404" s="3">
        <v>-6.4102738088306363E-3</v>
      </c>
      <c r="W404" s="3">
        <v>-8.7358034973899767E-3</v>
      </c>
      <c r="X404" s="3">
        <v>3.4689793195463614E-2</v>
      </c>
      <c r="Y404" s="3">
        <v>-7.652749352492114E-3</v>
      </c>
      <c r="Z404" s="3">
        <v>-1.9444444444444525E-2</v>
      </c>
      <c r="AA404" s="3">
        <v>-3.4989271373466024E-2</v>
      </c>
      <c r="AB404" s="3">
        <v>-8.1220558008205691E-3</v>
      </c>
      <c r="AC404" s="3">
        <v>-2.498575983441129E-2</v>
      </c>
      <c r="AD404" s="3">
        <v>-1.7946887815913269E-2</v>
      </c>
      <c r="AE404" s="3">
        <v>-3.5524015695389807E-2</v>
      </c>
      <c r="AF404" s="3">
        <v>-2.8455325160190847E-2</v>
      </c>
      <c r="AG404" s="3">
        <v>-1.038338616679774E-2</v>
      </c>
      <c r="AH404" s="3">
        <v>-1.9948981878675148E-2</v>
      </c>
      <c r="AI404" s="3">
        <v>-1.1992503502289307E-2</v>
      </c>
      <c r="AJ404" s="3">
        <v>-2.7144278769728622E-2</v>
      </c>
      <c r="AK404" s="3">
        <v>-2.5000000000000022E-2</v>
      </c>
      <c r="AL404" s="3">
        <v>-2.8114886722895066E-3</v>
      </c>
      <c r="AM404" s="3">
        <v>1.1947591292335327E-2</v>
      </c>
      <c r="AN404" s="3">
        <v>-1.7283555901203722E-2</v>
      </c>
    </row>
    <row r="405" spans="1:40" x14ac:dyDescent="0.3">
      <c r="A405" s="101">
        <v>44895</v>
      </c>
      <c r="B405" s="3">
        <v>3.6313528696789205E-3</v>
      </c>
      <c r="C405" s="3">
        <v>-4.2701486412629068E-4</v>
      </c>
      <c r="D405" s="3">
        <v>1.8899496122003613E-3</v>
      </c>
      <c r="E405" s="3">
        <v>-5.2899750819720426E-3</v>
      </c>
      <c r="F405" s="3">
        <v>-2.7586206896551724E-2</v>
      </c>
      <c r="G405" s="3">
        <v>-3.0878812015110658E-2</v>
      </c>
      <c r="H405" s="3">
        <v>1.8530039851356547E-3</v>
      </c>
      <c r="I405" s="3">
        <v>-8.9771091123366873E-4</v>
      </c>
      <c r="J405" s="3">
        <v>1.6618195977692742E-2</v>
      </c>
      <c r="K405" s="3">
        <v>1.8899496122003613E-3</v>
      </c>
      <c r="L405" s="3">
        <v>2.2545422996996196E-2</v>
      </c>
      <c r="M405" s="3">
        <v>-4.5087526016710365E-2</v>
      </c>
      <c r="N405" s="3">
        <v>-2.7106417323409272E-3</v>
      </c>
      <c r="O405" s="3">
        <v>-4.2701486412629068E-4</v>
      </c>
      <c r="P405" s="3">
        <v>2.072590780963262E-3</v>
      </c>
      <c r="Q405" s="3">
        <v>4.6854082998661313E-3</v>
      </c>
      <c r="R405" s="3">
        <v>-1.8932829130733297E-2</v>
      </c>
      <c r="S405" s="3">
        <v>7.2937985196684747E-3</v>
      </c>
      <c r="T405" s="3">
        <v>2.262802869809076E-2</v>
      </c>
      <c r="U405" s="3">
        <v>-2.829604274554454E-2</v>
      </c>
      <c r="V405" s="3">
        <v>2.4193564505902668E-2</v>
      </c>
      <c r="W405" s="3">
        <v>4.1473255020348949E-3</v>
      </c>
      <c r="X405" s="3">
        <v>-1.6763378465506112E-2</v>
      </c>
      <c r="Y405" s="3">
        <v>-2.2793946787647294E-2</v>
      </c>
      <c r="Z405" s="3">
        <v>-4.3909348441926295E-2</v>
      </c>
      <c r="AA405" s="3">
        <v>4.2880563798632594E-2</v>
      </c>
      <c r="AB405" s="3">
        <v>1.9087038679115272E-2</v>
      </c>
      <c r="AC405" s="3">
        <v>2.6885849369702897E-2</v>
      </c>
      <c r="AD405" s="3">
        <v>5.1169606304000519E-3</v>
      </c>
      <c r="AE405" s="3">
        <v>1.6267675315861367E-2</v>
      </c>
      <c r="AF405" s="3">
        <v>2.3361218808774776E-2</v>
      </c>
      <c r="AG405" s="3">
        <v>1.1299353862011655E-2</v>
      </c>
      <c r="AH405" s="3">
        <v>-3.03169927519762E-3</v>
      </c>
      <c r="AI405" s="3">
        <v>5.0275226274531098E-3</v>
      </c>
      <c r="AJ405" s="3">
        <v>6.1472914243232181E-2</v>
      </c>
      <c r="AK405" s="3">
        <v>5.1282051282051183E-2</v>
      </c>
      <c r="AL405" s="3">
        <v>1.2773741401118036E-2</v>
      </c>
      <c r="AM405" s="3">
        <v>1.8829779344995724E-2</v>
      </c>
      <c r="AN405" s="3">
        <v>1.9978645430564271E-2</v>
      </c>
    </row>
    <row r="406" spans="1:40" x14ac:dyDescent="0.3">
      <c r="A406" s="101">
        <v>44896</v>
      </c>
      <c r="B406" s="3">
        <v>-1.2749863266136245E-2</v>
      </c>
      <c r="C406" s="3">
        <v>-7.5477524555668009E-3</v>
      </c>
      <c r="D406" s="3">
        <v>2.1985814480935456E-3</v>
      </c>
      <c r="E406" s="3">
        <v>1.744389854501116E-3</v>
      </c>
      <c r="F406" s="3">
        <v>-1.551418439716312E-2</v>
      </c>
      <c r="G406" s="3">
        <v>2.2784989290600421E-2</v>
      </c>
      <c r="H406" s="3">
        <v>2.3329506622893764E-3</v>
      </c>
      <c r="I406" s="3">
        <v>-1.1680143755615524E-2</v>
      </c>
      <c r="J406" s="3">
        <v>-1.9460160380012016E-2</v>
      </c>
      <c r="K406" s="3">
        <v>2.1985814480935456E-3</v>
      </c>
      <c r="L406" s="3">
        <v>-5.2899750819720426E-3</v>
      </c>
      <c r="M406" s="3">
        <v>-1.6443504815597905E-3</v>
      </c>
      <c r="N406" s="3">
        <v>4.0769190958195008E-3</v>
      </c>
      <c r="O406" s="3">
        <v>-7.5477524555668009E-3</v>
      </c>
      <c r="P406" s="3">
        <v>8.2730093071354781E-3</v>
      </c>
      <c r="Q406" s="3">
        <v>-2.731512325116589E-2</v>
      </c>
      <c r="R406" s="3">
        <v>-6.7680145935136446E-3</v>
      </c>
      <c r="S406" s="3">
        <v>0</v>
      </c>
      <c r="T406" s="3">
        <v>-3.8820439279181715E-3</v>
      </c>
      <c r="U406" s="3">
        <v>-4.7840001610232975E-2</v>
      </c>
      <c r="V406" s="3">
        <v>-1.2598459430205308E-2</v>
      </c>
      <c r="W406" s="3">
        <v>-1.1874222422847691E-2</v>
      </c>
      <c r="X406" s="3">
        <v>-3.2786885245906762E-4</v>
      </c>
      <c r="Y406" s="3">
        <v>-1.4665870316839434E-2</v>
      </c>
      <c r="Z406" s="3">
        <v>1.48148148148145E-3</v>
      </c>
      <c r="AA406" s="3">
        <v>7.4947055846226254E-2</v>
      </c>
      <c r="AB406" s="3">
        <v>1.5318637937782389E-2</v>
      </c>
      <c r="AC406" s="3">
        <v>-1.1220825449880593E-2</v>
      </c>
      <c r="AD406" s="3">
        <v>2.5453992289425332E-3</v>
      </c>
      <c r="AE406" s="3">
        <v>-2.1875164656768975E-2</v>
      </c>
      <c r="AF406" s="3">
        <v>-5.7921421969707324E-3</v>
      </c>
      <c r="AG406" s="3">
        <v>-3.9904231440712114E-3</v>
      </c>
      <c r="AH406" s="3">
        <v>2.7801954596169392E-2</v>
      </c>
      <c r="AI406" s="3">
        <v>1.1291427072215284E-2</v>
      </c>
      <c r="AJ406" s="3">
        <v>-7.1416192332345654E-3</v>
      </c>
      <c r="AK406" s="3">
        <v>0</v>
      </c>
      <c r="AL406" s="3">
        <v>1.8918946373124936E-2</v>
      </c>
      <c r="AM406" s="3">
        <v>1.5407007971168367E-2</v>
      </c>
      <c r="AN406" s="3">
        <v>3.6381110718602529E-3</v>
      </c>
    </row>
    <row r="407" spans="1:40" x14ac:dyDescent="0.3">
      <c r="A407" s="101">
        <v>44897</v>
      </c>
      <c r="B407" s="3">
        <v>-1.7450673037756382E-4</v>
      </c>
      <c r="C407" s="3">
        <v>-1.6716738995334549E-2</v>
      </c>
      <c r="D407" s="3">
        <v>-1.9012726871489171E-3</v>
      </c>
      <c r="E407" s="3">
        <v>-2.038597475575249E-3</v>
      </c>
      <c r="F407" s="3">
        <v>-3.1517334533993696E-3</v>
      </c>
      <c r="G407" s="3">
        <v>1.7706603669239408E-2</v>
      </c>
      <c r="H407" s="3">
        <v>-1.2592054279790636E-3</v>
      </c>
      <c r="I407" s="3">
        <v>0</v>
      </c>
      <c r="J407" s="3">
        <v>0</v>
      </c>
      <c r="K407" s="3">
        <v>-1.9012726871489171E-3</v>
      </c>
      <c r="L407" s="3">
        <v>1.744389854501116E-3</v>
      </c>
      <c r="M407" s="3">
        <v>7.2705882352941259E-2</v>
      </c>
      <c r="N407" s="3">
        <v>-5.5942146415676793E-3</v>
      </c>
      <c r="O407" s="3">
        <v>-1.6716738995334549E-2</v>
      </c>
      <c r="P407" s="3">
        <v>1.0256410256410037E-3</v>
      </c>
      <c r="Q407" s="3">
        <v>-2.054794520547945E-3</v>
      </c>
      <c r="R407" s="3">
        <v>-3.4513292035398234E-2</v>
      </c>
      <c r="S407" s="3">
        <v>0</v>
      </c>
      <c r="T407" s="3">
        <v>2.903354366679237E-2</v>
      </c>
      <c r="U407" s="3">
        <v>-1.6800915389045599E-4</v>
      </c>
      <c r="V407" s="3">
        <v>1.5948974256479405E-2</v>
      </c>
      <c r="W407" s="3">
        <v>-1.5673799562109701E-2</v>
      </c>
      <c r="X407" s="3">
        <v>-1.1807182682846733E-2</v>
      </c>
      <c r="Y407" s="3">
        <v>5.4575449842666204E-3</v>
      </c>
      <c r="Z407" s="3">
        <v>5.9171597633136145E-3</v>
      </c>
      <c r="AA407" s="3">
        <v>5.7618860154718399E-2</v>
      </c>
      <c r="AB407" s="3">
        <v>3.6439069227144961E-3</v>
      </c>
      <c r="AC407" s="3">
        <v>1.4495317978684056E-2</v>
      </c>
      <c r="AD407" s="3">
        <v>1.8498403751161477E-2</v>
      </c>
      <c r="AE407" s="3">
        <v>3.0083842480156733E-2</v>
      </c>
      <c r="AF407" s="3">
        <v>4.7978052796751831E-2</v>
      </c>
      <c r="AG407" s="3">
        <v>4.4070915227200315E-3</v>
      </c>
      <c r="AH407" s="3">
        <v>8.4536859934905399E-4</v>
      </c>
      <c r="AI407" s="3">
        <v>5.3706681333122843E-3</v>
      </c>
      <c r="AJ407" s="3">
        <v>1.3902618222787592E-3</v>
      </c>
      <c r="AK407" s="3">
        <v>-2.4390243902438911E-2</v>
      </c>
      <c r="AL407" s="3">
        <v>1.3167629137741206E-3</v>
      </c>
      <c r="AM407" s="3">
        <v>-2.4414398678287074E-4</v>
      </c>
      <c r="AN407" s="3">
        <v>1.8413559316172792E-4</v>
      </c>
    </row>
    <row r="408" spans="1:40" x14ac:dyDescent="0.3">
      <c r="A408" s="101">
        <v>44900</v>
      </c>
      <c r="B408" s="3">
        <v>1.2043983865689011E-2</v>
      </c>
      <c r="C408" s="3">
        <v>-9.6316421152293549E-3</v>
      </c>
      <c r="D408" s="3">
        <v>-1.6119297308672376E-3</v>
      </c>
      <c r="E408" s="3">
        <v>-1.3651149461977636E-2</v>
      </c>
      <c r="F408" s="3">
        <v>-7.6784101174345075E-3</v>
      </c>
      <c r="G408" s="3">
        <v>-3.2355112437490931E-2</v>
      </c>
      <c r="H408" s="3">
        <v>-3.946684550255773E-3</v>
      </c>
      <c r="I408" s="3">
        <v>-1.9090909090909169E-2</v>
      </c>
      <c r="J408" s="3">
        <v>-6.8801983971034089E-3</v>
      </c>
      <c r="K408" s="3">
        <v>-1.6119297308672376E-3</v>
      </c>
      <c r="L408" s="3">
        <v>-2.038597475575249E-3</v>
      </c>
      <c r="M408" s="3">
        <v>-2.8515003290195365E-2</v>
      </c>
      <c r="N408" s="3">
        <v>5.5349550233526456E-3</v>
      </c>
      <c r="O408" s="3">
        <v>-9.6316421152293549E-3</v>
      </c>
      <c r="P408" s="3">
        <v>1.7418084016393488E-2</v>
      </c>
      <c r="Q408" s="3">
        <v>0</v>
      </c>
      <c r="R408" s="3">
        <v>-1.4665426483325869E-2</v>
      </c>
      <c r="S408" s="3">
        <v>0</v>
      </c>
      <c r="T408" s="3">
        <v>-3.673551717524124E-2</v>
      </c>
      <c r="U408" s="3">
        <v>-4.7058965894154862E-3</v>
      </c>
      <c r="V408" s="3">
        <v>6.2794520555929977E-3</v>
      </c>
      <c r="W408" s="3">
        <v>-9.5541785806190372E-3</v>
      </c>
      <c r="X408" s="3">
        <v>3.9827747753990459E-3</v>
      </c>
      <c r="Y408" s="3">
        <v>2.960651325527571E-3</v>
      </c>
      <c r="Z408" s="3">
        <v>2.9411764705883033E-3</v>
      </c>
      <c r="AA408" s="3">
        <v>2.5248391572585287E-2</v>
      </c>
      <c r="AB408" s="3">
        <v>2.2974816940572407E-2</v>
      </c>
      <c r="AC408" s="3">
        <v>3.2633347232828777E-2</v>
      </c>
      <c r="AD408" s="3">
        <v>4.6296808326202711E-3</v>
      </c>
      <c r="AE408" s="3">
        <v>-2.3938039158306987E-2</v>
      </c>
      <c r="AF408" s="3">
        <v>-1.5042648348644517E-2</v>
      </c>
      <c r="AG408" s="3">
        <v>7.1798962903869053E-3</v>
      </c>
      <c r="AH408" s="3">
        <v>-7.4324816706031549E-3</v>
      </c>
      <c r="AI408" s="3">
        <v>1.1175908964785094E-2</v>
      </c>
      <c r="AJ408" s="3">
        <v>1.1529033265262169E-2</v>
      </c>
      <c r="AK408" s="3">
        <v>1.8749999999999878E-2</v>
      </c>
      <c r="AL408" s="3">
        <v>6.2625889017436853E-3</v>
      </c>
      <c r="AM408" s="3">
        <v>-1.5796250669284141E-3</v>
      </c>
      <c r="AN408" s="3">
        <v>-8.1780223976597854E-3</v>
      </c>
    </row>
    <row r="409" spans="1:40" x14ac:dyDescent="0.3">
      <c r="A409" s="101">
        <v>44901</v>
      </c>
      <c r="B409" s="3">
        <v>2.3456367590571757E-2</v>
      </c>
      <c r="C409" s="3">
        <v>6.5571697433556026E-3</v>
      </c>
      <c r="D409" s="3">
        <v>-1.1868955605022322E-3</v>
      </c>
      <c r="E409" s="3">
        <v>-3.496901470819417E-2</v>
      </c>
      <c r="F409" s="3">
        <v>2.1392808375056895E-2</v>
      </c>
      <c r="G409" s="3">
        <v>1.7619768958230551E-2</v>
      </c>
      <c r="H409" s="3">
        <v>1.8683849074898294E-3</v>
      </c>
      <c r="I409" s="3">
        <v>1.4828544949026891E-2</v>
      </c>
      <c r="J409" s="3">
        <v>-8.5265739209311308E-3</v>
      </c>
      <c r="K409" s="3">
        <v>-1.1868955605022322E-3</v>
      </c>
      <c r="L409" s="3">
        <v>-1.3651149461977636E-2</v>
      </c>
      <c r="M409" s="3">
        <v>-1.5579204886448237E-2</v>
      </c>
      <c r="N409" s="3">
        <v>-7.0384861528462383E-3</v>
      </c>
      <c r="O409" s="3">
        <v>6.5571697433556026E-3</v>
      </c>
      <c r="P409" s="3">
        <v>-6.04234612072789E-3</v>
      </c>
      <c r="Q409" s="3">
        <v>9.6087851750171586E-3</v>
      </c>
      <c r="R409" s="3">
        <v>2.7907255813953841E-3</v>
      </c>
      <c r="S409" s="3">
        <v>2.8401176097825286E-2</v>
      </c>
      <c r="T409" s="3">
        <v>-2.2606562368367774E-2</v>
      </c>
      <c r="U409" s="3">
        <v>-1.3677790918633781E-2</v>
      </c>
      <c r="V409" s="3">
        <v>4.9504950495049506E-3</v>
      </c>
      <c r="W409" s="3">
        <v>-3.215447149825656E-3</v>
      </c>
      <c r="X409" s="3">
        <v>-1.3223471074380224E-3</v>
      </c>
      <c r="Y409" s="3">
        <v>7.4500773647040146E-3</v>
      </c>
      <c r="Z409" s="3">
        <v>-1.1730205278592386E-2</v>
      </c>
      <c r="AA409" s="3">
        <v>-5.0002733193773878E-3</v>
      </c>
      <c r="AB409" s="3">
        <v>-5.7672577120470338E-3</v>
      </c>
      <c r="AC409" s="3">
        <v>1.1556993705294882E-4</v>
      </c>
      <c r="AD409" s="3">
        <v>-3.5447130335345426E-4</v>
      </c>
      <c r="AE409" s="3">
        <v>1.4873049199804117E-2</v>
      </c>
      <c r="AF409" s="3">
        <v>0</v>
      </c>
      <c r="AG409" s="3">
        <v>-6.3366336633663423E-3</v>
      </c>
      <c r="AH409" s="3">
        <v>2.5357414378961791E-2</v>
      </c>
      <c r="AI409" s="3">
        <v>-9.0373514643164233E-4</v>
      </c>
      <c r="AJ409" s="3">
        <v>-6.9220884919826298E-3</v>
      </c>
      <c r="AK409" s="3">
        <v>-4.2944785276073524E-2</v>
      </c>
      <c r="AL409" s="3">
        <v>-1.0914179372236937E-2</v>
      </c>
      <c r="AM409" s="3">
        <v>-3.9306710263135947E-3</v>
      </c>
      <c r="AN409" s="3">
        <v>5.8437139805243244E-3</v>
      </c>
    </row>
    <row r="410" spans="1:40" x14ac:dyDescent="0.3">
      <c r="A410" s="101">
        <v>44902</v>
      </c>
      <c r="B410" s="3">
        <v>-1.7526195265777509E-2</v>
      </c>
      <c r="C410" s="3">
        <v>7.3195396686065632E-3</v>
      </c>
      <c r="D410" s="3">
        <v>1.9933586889501671E-3</v>
      </c>
      <c r="E410" s="3">
        <v>-1.2588391205734554E-3</v>
      </c>
      <c r="F410" s="3">
        <v>-5.3475935828877002E-3</v>
      </c>
      <c r="G410" s="3">
        <v>2.7455481391425146E-2</v>
      </c>
      <c r="H410" s="3">
        <v>1.5557638867886713E-3</v>
      </c>
      <c r="I410" s="3">
        <v>-4.5662557077625066E-3</v>
      </c>
      <c r="J410" s="3">
        <v>9.137314657494235E-3</v>
      </c>
      <c r="K410" s="3">
        <v>1.9933586889501671E-3</v>
      </c>
      <c r="L410" s="3">
        <v>-3.496901470819417E-2</v>
      </c>
      <c r="M410" s="3">
        <v>1.6743211777211574E-2</v>
      </c>
      <c r="N410" s="3">
        <v>7.2708490129024363E-4</v>
      </c>
      <c r="O410" s="3">
        <v>7.3195396686065632E-3</v>
      </c>
      <c r="P410" s="3">
        <v>1.0131712259373417E-3</v>
      </c>
      <c r="Q410" s="3">
        <v>-6.7980965329707682E-3</v>
      </c>
      <c r="R410" s="3">
        <v>-1.1688329915909186E-2</v>
      </c>
      <c r="S410" s="3">
        <v>0</v>
      </c>
      <c r="T410" s="3">
        <v>2.5945181612756843E-2</v>
      </c>
      <c r="U410" s="3">
        <v>-3.0131826187720999E-2</v>
      </c>
      <c r="V410" s="3">
        <v>-2.6272577996715927E-2</v>
      </c>
      <c r="W410" s="3">
        <v>-1.9354853915126688E-2</v>
      </c>
      <c r="X410" s="3">
        <v>2.6150315331026665E-2</v>
      </c>
      <c r="Y410" s="3">
        <v>5.441600542530887E-3</v>
      </c>
      <c r="Z410" s="3">
        <v>8.9020771513352529E-3</v>
      </c>
      <c r="AA410" s="3">
        <v>-2.0947109206597104E-3</v>
      </c>
      <c r="AB410" s="3">
        <v>5.0213280695956793E-4</v>
      </c>
      <c r="AC410" s="3">
        <v>-9.4737421019186925E-3</v>
      </c>
      <c r="AD410" s="3">
        <v>-7.092304617928682E-4</v>
      </c>
      <c r="AE410" s="3">
        <v>-2.8186079036388756E-2</v>
      </c>
      <c r="AF410" s="3">
        <v>-4.3160352057784058E-3</v>
      </c>
      <c r="AG410" s="3">
        <v>-1.7138302112395365E-2</v>
      </c>
      <c r="AH410" s="3">
        <v>2.0746850349647735E-2</v>
      </c>
      <c r="AI410" s="3">
        <v>3.270128560402171E-3</v>
      </c>
      <c r="AJ410" s="3">
        <v>1.4180816352079555E-2</v>
      </c>
      <c r="AK410" s="3">
        <v>-3.2051282051282076E-2</v>
      </c>
      <c r="AL410" s="3">
        <v>3.8582295949168383E-4</v>
      </c>
      <c r="AM410" s="3">
        <v>-2.7843656379354729E-4</v>
      </c>
      <c r="AN410" s="3">
        <v>-8.5549190663045307E-3</v>
      </c>
    </row>
    <row r="411" spans="1:40" x14ac:dyDescent="0.3">
      <c r="A411" s="101">
        <v>44903</v>
      </c>
      <c r="B411" s="3">
        <v>7.7187313420757943E-3</v>
      </c>
      <c r="C411" s="3">
        <v>1.1771483794176507E-2</v>
      </c>
      <c r="D411" s="3">
        <v>-4.2848104956248771E-3</v>
      </c>
      <c r="E411" s="3">
        <v>-2.2957073749705612E-3</v>
      </c>
      <c r="F411" s="3">
        <v>-4.4802867383512543E-3</v>
      </c>
      <c r="G411" s="3">
        <v>1.2412679727391058E-2</v>
      </c>
      <c r="H411" s="3">
        <v>3.3549616527883863E-3</v>
      </c>
      <c r="I411" s="3">
        <v>-5.5045415369055738E-3</v>
      </c>
      <c r="J411" s="3">
        <v>6.5246343261387693E-3</v>
      </c>
      <c r="K411" s="3">
        <v>-4.2848104956248771E-3</v>
      </c>
      <c r="L411" s="3">
        <v>-1.2588391205734554E-3</v>
      </c>
      <c r="M411" s="3">
        <v>-1.3534896750061132E-2</v>
      </c>
      <c r="N411" s="3">
        <v>2.7242467753220583E-3</v>
      </c>
      <c r="O411" s="3">
        <v>1.1771483794176507E-2</v>
      </c>
      <c r="P411" s="3">
        <v>3.2894736842105192E-2</v>
      </c>
      <c r="Q411" s="3">
        <v>2.4640657084188913E-2</v>
      </c>
      <c r="R411" s="3">
        <v>4.3176177556070823E-3</v>
      </c>
      <c r="S411" s="3">
        <v>-2.3142465960851975E-2</v>
      </c>
      <c r="T411" s="3">
        <v>2.7445703200206586E-2</v>
      </c>
      <c r="U411" s="3">
        <v>1.9947018020520742E-2</v>
      </c>
      <c r="V411" s="3">
        <v>3.7099494097807759E-2</v>
      </c>
      <c r="W411" s="3">
        <v>2.1929697783808653E-3</v>
      </c>
      <c r="X411" s="3">
        <v>2.7419354838709723E-2</v>
      </c>
      <c r="Y411" s="3">
        <v>2.6367264306386582E-3</v>
      </c>
      <c r="Z411" s="3">
        <v>2.9411764705883033E-3</v>
      </c>
      <c r="AA411" s="3">
        <v>-1.4592267843179961E-2</v>
      </c>
      <c r="AB411" s="3">
        <v>-6.5783847654210283E-3</v>
      </c>
      <c r="AC411" s="3">
        <v>4.1406164102139415E-3</v>
      </c>
      <c r="AD411" s="3">
        <v>2.129128495833181E-3</v>
      </c>
      <c r="AE411" s="3">
        <v>5.071171640509272E-2</v>
      </c>
      <c r="AF411" s="3">
        <v>3.7679221350219651E-2</v>
      </c>
      <c r="AG411" s="3">
        <v>-1.013787510137875E-2</v>
      </c>
      <c r="AH411" s="3">
        <v>4.8779841952555558E-3</v>
      </c>
      <c r="AI411" s="3">
        <v>-8.1830876225764838E-3</v>
      </c>
      <c r="AJ411" s="3">
        <v>-7.6430876911827671E-3</v>
      </c>
      <c r="AK411" s="3">
        <v>2.6490066225165587E-2</v>
      </c>
      <c r="AL411" s="3">
        <v>-3.4265090599503974E-3</v>
      </c>
      <c r="AM411" s="3">
        <v>2.5388165490449577E-3</v>
      </c>
      <c r="AN411" s="3">
        <v>-3.289005306375254E-3</v>
      </c>
    </row>
    <row r="412" spans="1:40" x14ac:dyDescent="0.3">
      <c r="A412" s="101">
        <v>44904</v>
      </c>
      <c r="B412" s="3">
        <v>-1.9744652507875667E-2</v>
      </c>
      <c r="C412" s="3">
        <v>3.0164667033864175E-3</v>
      </c>
      <c r="D412" s="3">
        <v>-1.0438141752856158E-3</v>
      </c>
      <c r="E412" s="3">
        <v>8.9785815030881434E-3</v>
      </c>
      <c r="F412" s="3">
        <v>-2.4302430243024302E-2</v>
      </c>
      <c r="G412" s="3">
        <v>-8.5993573929166699E-3</v>
      </c>
      <c r="H412" s="3">
        <v>2.5211826152087172E-3</v>
      </c>
      <c r="I412" s="3">
        <v>0</v>
      </c>
      <c r="J412" s="3">
        <v>0</v>
      </c>
      <c r="K412" s="3">
        <v>-1.0438141752856158E-3</v>
      </c>
      <c r="L412" s="3">
        <v>-2.2957073749705612E-3</v>
      </c>
      <c r="M412" s="3">
        <v>-1.7379350560255968E-2</v>
      </c>
      <c r="N412" s="3">
        <v>1.4761822733864846E-2</v>
      </c>
      <c r="O412" s="3">
        <v>3.0164667033864175E-3</v>
      </c>
      <c r="P412" s="3">
        <v>-1.7638461538461561E-2</v>
      </c>
      <c r="Q412" s="3">
        <v>-1.2024048096192385E-2</v>
      </c>
      <c r="R412" s="3">
        <v>1.700934579439246E-2</v>
      </c>
      <c r="S412" s="3">
        <v>0</v>
      </c>
      <c r="T412" s="3">
        <v>1.3731494701855525E-2</v>
      </c>
      <c r="U412" s="3">
        <v>0</v>
      </c>
      <c r="V412" s="3">
        <v>1.4634146341463415E-2</v>
      </c>
      <c r="W412" s="3">
        <v>1.2034973924849724E-2</v>
      </c>
      <c r="X412" s="3">
        <v>-5.1805306122449012E-2</v>
      </c>
      <c r="Y412" s="3">
        <v>1.0380207612456223E-3</v>
      </c>
      <c r="Z412" s="3">
        <v>-7.3313782991203382E-3</v>
      </c>
      <c r="AA412" s="3">
        <v>-1.2668840777702769E-2</v>
      </c>
      <c r="AB412" s="3">
        <v>-3.5353313958115433E-3</v>
      </c>
      <c r="AC412" s="3">
        <v>-2.3260481324506931E-2</v>
      </c>
      <c r="AD412" s="3">
        <v>7.4363175660420696E-3</v>
      </c>
      <c r="AE412" s="3">
        <v>-3.3869602462357359E-2</v>
      </c>
      <c r="AF412" s="3">
        <v>-3.0205579142812512E-2</v>
      </c>
      <c r="AG412" s="3">
        <v>8.1933633756655364E-4</v>
      </c>
      <c r="AH412" s="3">
        <v>-5.6633421615990744E-3</v>
      </c>
      <c r="AI412" s="3">
        <v>6.8521656312772313E-3</v>
      </c>
      <c r="AJ412" s="3">
        <v>-4.8957128615992589E-3</v>
      </c>
      <c r="AK412" s="3">
        <v>6.4516129032258117E-3</v>
      </c>
      <c r="AL412" s="3">
        <v>-9.0614748506158086E-3</v>
      </c>
      <c r="AM412" s="3">
        <v>-1.5765695525700691E-2</v>
      </c>
      <c r="AN412" s="3">
        <v>-1.1429403203606348E-2</v>
      </c>
    </row>
    <row r="413" spans="1:40" x14ac:dyDescent="0.3">
      <c r="A413" s="101">
        <v>44908</v>
      </c>
      <c r="B413" s="3">
        <v>-3.559645857208716E-2</v>
      </c>
      <c r="C413" s="3">
        <v>-9.3075625915657828E-4</v>
      </c>
      <c r="D413" s="3">
        <v>2.5004472675956544E-4</v>
      </c>
      <c r="E413" s="3">
        <v>-4.4270066191550664E-3</v>
      </c>
      <c r="F413" s="3">
        <v>-3.136531365313653E-2</v>
      </c>
      <c r="G413" s="3">
        <v>-4.251142127895533E-3</v>
      </c>
      <c r="H413" s="3">
        <v>1.4808885331197975E-3</v>
      </c>
      <c r="I413" s="3">
        <v>1.8449723247233245E-3</v>
      </c>
      <c r="J413" s="3">
        <v>2.7782422009566313E-3</v>
      </c>
      <c r="K413" s="3">
        <v>2.5004472675956544E-4</v>
      </c>
      <c r="L413" s="3">
        <v>8.9785815030881434E-3</v>
      </c>
      <c r="M413" s="3">
        <v>1.2566837035912557E-2</v>
      </c>
      <c r="N413" s="3">
        <v>4.1053140884441145E-3</v>
      </c>
      <c r="O413" s="3">
        <v>-9.3075625915657828E-4</v>
      </c>
      <c r="P413" s="3">
        <v>2.4938155857265501E-3</v>
      </c>
      <c r="Q413" s="3">
        <v>-2.6369168356997971E-2</v>
      </c>
      <c r="R413" s="3">
        <v>2.003308215401587E-2</v>
      </c>
      <c r="S413" s="3">
        <v>0</v>
      </c>
      <c r="T413" s="3">
        <v>1.5399278152063756E-2</v>
      </c>
      <c r="U413" s="3">
        <v>3.1671871387534786E-2</v>
      </c>
      <c r="V413" s="3">
        <v>-6.41025641025641E-3</v>
      </c>
      <c r="W413" s="3">
        <v>-2.2162211250121008E-2</v>
      </c>
      <c r="X413" s="3">
        <v>-3.6754998782947072E-2</v>
      </c>
      <c r="Y413" s="3">
        <v>-2.0670515893695826E-2</v>
      </c>
      <c r="Z413" s="3">
        <v>-1.1816838995568565E-2</v>
      </c>
      <c r="AA413" s="3">
        <v>0.13531668269696576</v>
      </c>
      <c r="AB413" s="3">
        <v>2.5004333001027831E-2</v>
      </c>
      <c r="AC413" s="3">
        <v>6.511083576433741E-3</v>
      </c>
      <c r="AD413" s="3">
        <v>1.3005231840667906E-2</v>
      </c>
      <c r="AE413" s="3">
        <v>2.1866805721298919E-2</v>
      </c>
      <c r="AF413" s="3">
        <v>6.825717981726237E-2</v>
      </c>
      <c r="AG413" s="3">
        <v>3.6839950880065437E-3</v>
      </c>
      <c r="AH413" s="3">
        <v>3.2546628631815607E-3</v>
      </c>
      <c r="AI413" s="3">
        <v>2.1875003690115389E-2</v>
      </c>
      <c r="AJ413" s="3">
        <v>-1.199975753740852E-2</v>
      </c>
      <c r="AK413" s="3">
        <v>5.1282051282051183E-2</v>
      </c>
      <c r="AL413" s="3">
        <v>2.7300964482155064E-3</v>
      </c>
      <c r="AM413" s="3">
        <v>-8.4157874363728451E-3</v>
      </c>
      <c r="AN413" s="3">
        <v>2.2118320930628578E-2</v>
      </c>
    </row>
    <row r="414" spans="1:40" x14ac:dyDescent="0.3">
      <c r="A414" s="101">
        <v>44909</v>
      </c>
      <c r="B414" s="3">
        <v>2.394669545893599E-2</v>
      </c>
      <c r="C414" s="3">
        <v>-1.0751768910278068E-3</v>
      </c>
      <c r="D414" s="3">
        <v>-4.9996444004747609E-4</v>
      </c>
      <c r="E414" s="3">
        <v>-8.8034969580463619E-3</v>
      </c>
      <c r="F414" s="3">
        <v>2.0952380952380951E-2</v>
      </c>
      <c r="G414" s="3">
        <v>1.4705265490988316E-2</v>
      </c>
      <c r="H414" s="3">
        <v>7.7265339834282486E-4</v>
      </c>
      <c r="I414" s="3">
        <v>-1.0589273047388397E-2</v>
      </c>
      <c r="J414" s="3">
        <v>-1.7150844676297793E-3</v>
      </c>
      <c r="K414" s="3">
        <v>-4.9996444004747609E-4</v>
      </c>
      <c r="L414" s="3">
        <v>-4.4270066191550664E-3</v>
      </c>
      <c r="M414" s="3">
        <v>1.8616456842861659E-2</v>
      </c>
      <c r="N414" s="3">
        <v>1.1732259035445175E-2</v>
      </c>
      <c r="O414" s="3">
        <v>-1.0751768910278068E-3</v>
      </c>
      <c r="P414" s="3">
        <v>6.9651741293530849E-3</v>
      </c>
      <c r="Q414" s="3">
        <v>8.3333333333333332E-3</v>
      </c>
      <c r="R414" s="3">
        <v>-9.0090090090090089E-3</v>
      </c>
      <c r="S414" s="3">
        <v>2.947044582770153E-2</v>
      </c>
      <c r="T414" s="3">
        <v>-1.8719340947380555E-4</v>
      </c>
      <c r="U414" s="3">
        <v>-3.3551381088526885E-2</v>
      </c>
      <c r="V414" s="3">
        <v>-1.4516129032258065E-2</v>
      </c>
      <c r="W414" s="3">
        <v>-1.3266922963416437E-2</v>
      </c>
      <c r="X414" s="3">
        <v>3.403231350979713E-2</v>
      </c>
      <c r="Y414" s="3">
        <v>-8.6828389472584696E-3</v>
      </c>
      <c r="Z414" s="3">
        <v>1.4947683109117766E-3</v>
      </c>
      <c r="AA414" s="3">
        <v>-4.1832696897485679E-2</v>
      </c>
      <c r="AB414" s="3">
        <v>-1.2691732449933076E-2</v>
      </c>
      <c r="AC414" s="3">
        <v>-5.9372893795841498E-3</v>
      </c>
      <c r="AD414" s="3">
        <v>2.324771836195837E-2</v>
      </c>
      <c r="AE414" s="3">
        <v>-4.4427290669177083E-2</v>
      </c>
      <c r="AF414" s="3">
        <v>2.5124024197666649E-2</v>
      </c>
      <c r="AG414" s="3">
        <v>-5.7096655791190071E-3</v>
      </c>
      <c r="AH414" s="3">
        <v>1.2165411997976992E-2</v>
      </c>
      <c r="AI414" s="3">
        <v>-7.4753045197423779E-3</v>
      </c>
      <c r="AJ414" s="3">
        <v>1.0445074870099694E-2</v>
      </c>
      <c r="AK414" s="3">
        <v>6.7073170731707377E-2</v>
      </c>
      <c r="AL414" s="3">
        <v>-4.5355250698686667E-3</v>
      </c>
      <c r="AM414" s="3">
        <v>-1.0412258821268696E-2</v>
      </c>
      <c r="AN414" s="3">
        <v>-1.6915586645762985E-2</v>
      </c>
    </row>
    <row r="415" spans="1:40" x14ac:dyDescent="0.3">
      <c r="A415" s="101">
        <v>44910</v>
      </c>
      <c r="B415" s="3">
        <v>5.2751770646961406E-3</v>
      </c>
      <c r="C415" s="3">
        <v>-7.2463397841971639E-3</v>
      </c>
      <c r="D415" s="3">
        <v>-1.6799077609385234E-3</v>
      </c>
      <c r="E415" s="3">
        <v>1.4545938917245328E-2</v>
      </c>
      <c r="F415" s="3">
        <v>6.5298507462686565E-3</v>
      </c>
      <c r="G415" s="3">
        <v>3.6251588998067304E-2</v>
      </c>
      <c r="H415" s="3">
        <v>3.174751078217308E-3</v>
      </c>
      <c r="I415" s="3">
        <v>-2.1870637505816609E-2</v>
      </c>
      <c r="J415" s="3">
        <v>5.2862066765131718E-3</v>
      </c>
      <c r="K415" s="3">
        <v>-1.6799077609385234E-3</v>
      </c>
      <c r="L415" s="3">
        <v>-8.8034969580463619E-3</v>
      </c>
      <c r="M415" s="3">
        <v>-1.7599255415162537E-2</v>
      </c>
      <c r="N415" s="3">
        <v>7.0279876817268905E-3</v>
      </c>
      <c r="O415" s="3">
        <v>-7.2463397841971639E-3</v>
      </c>
      <c r="P415" s="3">
        <v>5.4347826086958003E-3</v>
      </c>
      <c r="Q415" s="3">
        <v>5.5096418732782371E-3</v>
      </c>
      <c r="R415" s="3">
        <v>4.6363818181818185E-3</v>
      </c>
      <c r="S415" s="3">
        <v>1.0909496135022271E-2</v>
      </c>
      <c r="T415" s="3">
        <v>-7.8652056979324411E-3</v>
      </c>
      <c r="U415" s="3">
        <v>-3.0723888259191038E-2</v>
      </c>
      <c r="V415" s="3">
        <v>6.5466448445171853E-3</v>
      </c>
      <c r="W415" s="3">
        <v>3.3536057806708722E-2</v>
      </c>
      <c r="X415" s="3">
        <v>2.5930884308510711E-2</v>
      </c>
      <c r="Y415" s="3">
        <v>-5.8391514695865935E-3</v>
      </c>
      <c r="Z415" s="3">
        <v>-1.9402985074626851E-2</v>
      </c>
      <c r="AA415" s="3">
        <v>-5.3471213103360817E-2</v>
      </c>
      <c r="AB415" s="3">
        <v>-2.6599881926047987E-2</v>
      </c>
      <c r="AC415" s="3">
        <v>-3.6727739092288152E-2</v>
      </c>
      <c r="AD415" s="3">
        <v>-7.4600936216746416E-3</v>
      </c>
      <c r="AE415" s="3">
        <v>-0.117219381436796</v>
      </c>
      <c r="AF415" s="3">
        <v>-9.9849022412231633E-3</v>
      </c>
      <c r="AG415" s="3">
        <v>-1.6406481394852259E-3</v>
      </c>
      <c r="AH415" s="3">
        <v>-2.7644128969949038E-2</v>
      </c>
      <c r="AI415" s="3">
        <v>-5.2038174700763567E-3</v>
      </c>
      <c r="AJ415" s="3">
        <v>-2.4881329789620227E-2</v>
      </c>
      <c r="AK415" s="3">
        <v>-9.71428571428571E-2</v>
      </c>
      <c r="AL415" s="3">
        <v>-4.6829834628873183E-2</v>
      </c>
      <c r="AM415" s="3">
        <v>-3.9972939255095055E-2</v>
      </c>
      <c r="AN415" s="3">
        <v>-1.889308833061171E-2</v>
      </c>
    </row>
    <row r="416" spans="1:40" x14ac:dyDescent="0.3">
      <c r="A416" s="101">
        <v>44911</v>
      </c>
      <c r="B416" s="3">
        <v>1.2419107108895227E-2</v>
      </c>
      <c r="C416" s="3">
        <v>1.0840400329321938E-2</v>
      </c>
      <c r="D416" s="3">
        <v>2.7361178113374978E-3</v>
      </c>
      <c r="E416" s="3">
        <v>-4.3770301183096716E-3</v>
      </c>
      <c r="F416" s="3">
        <v>2.8730305838739572E-2</v>
      </c>
      <c r="G416" s="3">
        <v>1.4518283111033979E-2</v>
      </c>
      <c r="H416" s="3">
        <v>5.6394095206503062E-4</v>
      </c>
      <c r="I416" s="3">
        <v>-4.7573739295899195E-4</v>
      </c>
      <c r="J416" s="3">
        <v>6.9670835988131837E-3</v>
      </c>
      <c r="K416" s="3">
        <v>2.7361178113374978E-3</v>
      </c>
      <c r="L416" s="3">
        <v>1.4545938917245328E-2</v>
      </c>
      <c r="M416" s="3">
        <v>7.1198206908631625E-3</v>
      </c>
      <c r="N416" s="3">
        <v>-2.7915495328403182E-3</v>
      </c>
      <c r="O416" s="3">
        <v>1.0840400329321938E-2</v>
      </c>
      <c r="P416" s="3">
        <v>2.3587223587223431E-2</v>
      </c>
      <c r="Q416" s="3">
        <v>-3.5616438356164383E-2</v>
      </c>
      <c r="R416" s="3">
        <v>8.1436972555659984E-4</v>
      </c>
      <c r="S416" s="3">
        <v>0</v>
      </c>
      <c r="T416" s="3">
        <v>-9.626255190637853E-3</v>
      </c>
      <c r="U416" s="3">
        <v>2.6863128219112844E-3</v>
      </c>
      <c r="V416" s="3">
        <v>4.2276422764227641E-2</v>
      </c>
      <c r="W416" s="3">
        <v>-2.0196536101780321E-2</v>
      </c>
      <c r="X416" s="3">
        <v>-1.7174367557538386E-2</v>
      </c>
      <c r="Y416" s="3">
        <v>-5.5869851329633869E-3</v>
      </c>
      <c r="Z416" s="3">
        <v>-1.369863013698628E-2</v>
      </c>
      <c r="AA416" s="3">
        <v>-2.1523373440077244E-2</v>
      </c>
      <c r="AB416" s="3">
        <v>-1.6693306510680957E-2</v>
      </c>
      <c r="AC416" s="3">
        <v>2.5572932928870321E-2</v>
      </c>
      <c r="AD416" s="3">
        <v>1.5715633520435771E-2</v>
      </c>
      <c r="AE416" s="3">
        <v>-1.4640866745533606E-2</v>
      </c>
      <c r="AF416" s="3">
        <v>0</v>
      </c>
      <c r="AG416" s="3">
        <v>-3.6976170912078822E-3</v>
      </c>
      <c r="AH416" s="3">
        <v>-1.0300805458154177E-2</v>
      </c>
      <c r="AI416" s="3">
        <v>-1.6243295034297722E-2</v>
      </c>
      <c r="AJ416" s="3">
        <v>-7.4576638697688193E-3</v>
      </c>
      <c r="AK416" s="3">
        <v>1.8987341772151913E-2</v>
      </c>
      <c r="AL416" s="3">
        <v>-7.4468137581649681E-4</v>
      </c>
      <c r="AM416" s="3">
        <v>-2.5074079324990201E-2</v>
      </c>
      <c r="AN416" s="3">
        <v>-6.7109830037961945E-3</v>
      </c>
    </row>
    <row r="417" spans="1:40" x14ac:dyDescent="0.3">
      <c r="A417" s="101">
        <v>44914</v>
      </c>
      <c r="B417" s="3">
        <v>3.0234999515515813E-2</v>
      </c>
      <c r="C417" s="3">
        <v>4.8617069292995491E-3</v>
      </c>
      <c r="D417" s="3">
        <v>-2.9271294913906887E-3</v>
      </c>
      <c r="E417" s="3">
        <v>-2.0097853334981548E-2</v>
      </c>
      <c r="F417" s="3">
        <v>7.2072072072072073E-3</v>
      </c>
      <c r="G417" s="3">
        <v>1.2127178156754081E-4</v>
      </c>
      <c r="H417" s="3">
        <v>7.5591804257006754E-4</v>
      </c>
      <c r="I417" s="3">
        <v>2.5226130414088461E-2</v>
      </c>
      <c r="J417" s="3">
        <v>-4.569091838473328E-3</v>
      </c>
      <c r="K417" s="3">
        <v>-2.9271294913906887E-3</v>
      </c>
      <c r="L417" s="3">
        <v>-4.3770301183096716E-3</v>
      </c>
      <c r="M417" s="3">
        <v>-3.4206843065306193E-3</v>
      </c>
      <c r="N417" s="3">
        <v>-1.0497826473305723E-2</v>
      </c>
      <c r="O417" s="3">
        <v>4.8617069292995491E-3</v>
      </c>
      <c r="P417" s="3">
        <v>-2.8804608737397373E-3</v>
      </c>
      <c r="Q417" s="3">
        <v>9.943181818181818E-3</v>
      </c>
      <c r="R417" s="3">
        <v>0</v>
      </c>
      <c r="S417" s="3">
        <v>-2.7895203785394472E-2</v>
      </c>
      <c r="T417" s="3">
        <v>1.4293881945990433E-2</v>
      </c>
      <c r="U417" s="3">
        <v>2.6789533273036035E-3</v>
      </c>
      <c r="V417" s="3">
        <v>-3.1201248049921998E-3</v>
      </c>
      <c r="W417" s="3">
        <v>-1.268963716336843E-2</v>
      </c>
      <c r="X417" s="3">
        <v>9.5615232443125673E-3</v>
      </c>
      <c r="Y417" s="3">
        <v>-9.8681479526307077E-3</v>
      </c>
      <c r="Z417" s="3">
        <v>-3.2407407407407537E-2</v>
      </c>
      <c r="AA417" s="3">
        <v>-3.5446568646603067E-2</v>
      </c>
      <c r="AB417" s="3">
        <v>9.8848780133527301E-4</v>
      </c>
      <c r="AC417" s="3">
        <v>-2.0152259463906575E-3</v>
      </c>
      <c r="AD417" s="3">
        <v>6.7276588027550513E-4</v>
      </c>
      <c r="AE417" s="3">
        <v>-6.923591735813954E-2</v>
      </c>
      <c r="AF417" s="3">
        <v>8.1601478659583615E-2</v>
      </c>
      <c r="AG417" s="3">
        <v>-3.7113402061855613E-3</v>
      </c>
      <c r="AH417" s="3">
        <v>-2.66445860190185E-2</v>
      </c>
      <c r="AI417" s="3">
        <v>-1.46924659220833E-2</v>
      </c>
      <c r="AJ417" s="3">
        <v>-2.527314009888006E-2</v>
      </c>
      <c r="AK417" s="3">
        <v>1.2422360248447077E-2</v>
      </c>
      <c r="AL417" s="3">
        <v>-3.9730283303293853E-3</v>
      </c>
      <c r="AM417" s="3">
        <v>-2.2104105417214095E-2</v>
      </c>
      <c r="AN417" s="3">
        <v>-4.2877786061937435E-3</v>
      </c>
    </row>
    <row r="418" spans="1:40" x14ac:dyDescent="0.3">
      <c r="A418" s="101">
        <v>44915</v>
      </c>
      <c r="B418" s="3">
        <v>-3.3540194888460002E-2</v>
      </c>
      <c r="C418" s="3">
        <v>8.0398452855228175E-3</v>
      </c>
      <c r="D418" s="3">
        <v>-8.4807307028076013E-4</v>
      </c>
      <c r="E418" s="3">
        <v>5.6767833324565357E-3</v>
      </c>
      <c r="F418" s="3">
        <v>5.3667262969588547E-3</v>
      </c>
      <c r="G418" s="3">
        <v>5.7397454908588701E-3</v>
      </c>
      <c r="H418" s="3">
        <v>-2.6635922716068436E-3</v>
      </c>
      <c r="I418" s="3">
        <v>4.6424324678536162E-3</v>
      </c>
      <c r="J418" s="3">
        <v>-1.2721350540865433E-2</v>
      </c>
      <c r="K418" s="3">
        <v>-8.4807307028076013E-4</v>
      </c>
      <c r="L418" s="3">
        <v>-2.0097853334981548E-2</v>
      </c>
      <c r="M418" s="3">
        <v>-1.7620159779859059E-2</v>
      </c>
      <c r="N418" s="3">
        <v>-2.3428445247793441E-2</v>
      </c>
      <c r="O418" s="3">
        <v>8.0398452855228175E-3</v>
      </c>
      <c r="P418" s="3">
        <v>0</v>
      </c>
      <c r="Q418" s="3">
        <v>1.8987341772151899E-2</v>
      </c>
      <c r="R418" s="3">
        <v>-2.3508119774107043E-2</v>
      </c>
      <c r="S418" s="3">
        <v>2.7014482035970618E-2</v>
      </c>
      <c r="T418" s="3">
        <v>-3.5700882455827143E-2</v>
      </c>
      <c r="U418" s="3">
        <v>8.9068863541321742E-4</v>
      </c>
      <c r="V418" s="3">
        <v>4.6948356807511738E-3</v>
      </c>
      <c r="W418" s="3">
        <v>-3.1974960796579709E-2</v>
      </c>
      <c r="X418" s="3">
        <v>-3.9843271069782131E-2</v>
      </c>
      <c r="Y418" s="3">
        <v>-3.3464788052861827E-3</v>
      </c>
      <c r="Z418" s="3">
        <v>7.9744816586922989E-3</v>
      </c>
      <c r="AA418" s="3">
        <v>3.0341954275550163E-2</v>
      </c>
      <c r="AB418" s="3">
        <v>1.161357956606488E-4</v>
      </c>
      <c r="AC418" s="3">
        <v>-1.1211916872397512E-2</v>
      </c>
      <c r="AD418" s="3">
        <v>-2.6890814513249239E-3</v>
      </c>
      <c r="AE418" s="3">
        <v>1.4134487797029282E-2</v>
      </c>
      <c r="AF418" s="3">
        <v>-1.3563203709725928E-2</v>
      </c>
      <c r="AG418" s="3">
        <v>-8.2785596026492558E-4</v>
      </c>
      <c r="AH418" s="3">
        <v>-6.0735665000530799E-2</v>
      </c>
      <c r="AI418" s="3">
        <v>4.0473337339290306E-3</v>
      </c>
      <c r="AJ418" s="3">
        <v>-4.1600284344791488E-2</v>
      </c>
      <c r="AK418" s="3">
        <v>-3.0674846625766763E-2</v>
      </c>
      <c r="AL418" s="3">
        <v>1.1455857205742421E-2</v>
      </c>
      <c r="AM418" s="3">
        <v>-2.2363915360085092E-3</v>
      </c>
      <c r="AN418" s="3">
        <v>-6.5701797152319203E-3</v>
      </c>
    </row>
    <row r="419" spans="1:40" x14ac:dyDescent="0.3">
      <c r="A419" s="101">
        <v>44916</v>
      </c>
      <c r="B419" s="3">
        <v>4.3380202870736996E-3</v>
      </c>
      <c r="C419" s="3">
        <v>2.1245182902244201E-2</v>
      </c>
      <c r="D419" s="3">
        <v>-4.9503689280683673E-4</v>
      </c>
      <c r="E419" s="3">
        <v>4.3292269190020188E-2</v>
      </c>
      <c r="F419" s="3">
        <v>2.9359430604982206E-2</v>
      </c>
      <c r="G419" s="3">
        <v>2.7288778269345549E-2</v>
      </c>
      <c r="H419" s="3">
        <v>1.2024820292050925E-3</v>
      </c>
      <c r="I419" s="3">
        <v>2.3567514952288076E-2</v>
      </c>
      <c r="J419" s="3">
        <v>-6.6419264767353658E-3</v>
      </c>
      <c r="K419" s="3">
        <v>-4.9503689280683673E-4</v>
      </c>
      <c r="L419" s="3">
        <v>5.6767833324565357E-3</v>
      </c>
      <c r="M419" s="3">
        <v>-2.0498509201024924E-2</v>
      </c>
      <c r="N419" s="3">
        <v>1.176790176921594E-3</v>
      </c>
      <c r="O419" s="3">
        <v>2.1245182902244201E-2</v>
      </c>
      <c r="P419" s="3">
        <v>1.0592200288878134E-2</v>
      </c>
      <c r="Q419" s="3">
        <v>2.2084195997239476E-2</v>
      </c>
      <c r="R419" s="3">
        <v>-1.8518518518518517E-2</v>
      </c>
      <c r="S419" s="3">
        <v>1.5748466067320013E-2</v>
      </c>
      <c r="T419" s="3">
        <v>6.6250974279032796E-3</v>
      </c>
      <c r="U419" s="3">
        <v>9.4322876633726349E-2</v>
      </c>
      <c r="V419" s="3">
        <v>-4.6728971962616819E-3</v>
      </c>
      <c r="W419" s="3">
        <v>1.813481327688991E-2</v>
      </c>
      <c r="X419" s="3">
        <v>2.0408163265306173E-2</v>
      </c>
      <c r="Y419" s="3">
        <v>1.021890510948824E-3</v>
      </c>
      <c r="Z419" s="3">
        <v>-1.1075949367088653E-2</v>
      </c>
      <c r="AA419" s="3">
        <v>5.9350253559852578E-3</v>
      </c>
      <c r="AB419" s="3">
        <v>1.6783838970752453E-2</v>
      </c>
      <c r="AC419" s="3">
        <v>1.9203181837954612E-2</v>
      </c>
      <c r="AD419" s="3">
        <v>2.2581777071926493E-2</v>
      </c>
      <c r="AE419" s="3">
        <v>1.4975895797817749E-2</v>
      </c>
      <c r="AF419" s="3">
        <v>1.4322012997932433E-3</v>
      </c>
      <c r="AG419" s="3">
        <v>1.6984259195702543E-2</v>
      </c>
      <c r="AH419" s="3">
        <v>2.823322451252188E-2</v>
      </c>
      <c r="AI419" s="3">
        <v>3.0198115200474437E-2</v>
      </c>
      <c r="AJ419" s="3">
        <v>-9.3063720501629322E-4</v>
      </c>
      <c r="AK419" s="3">
        <v>-6.329113924050638E-3</v>
      </c>
      <c r="AL419" s="3">
        <v>1.0416794982579943E-2</v>
      </c>
      <c r="AM419" s="3">
        <v>1.8339372863100656E-3</v>
      </c>
      <c r="AN419" s="3">
        <v>2.4002131404685455E-2</v>
      </c>
    </row>
    <row r="420" spans="1:40" x14ac:dyDescent="0.3">
      <c r="A420" s="101">
        <v>44917</v>
      </c>
      <c r="B420" s="3">
        <v>-4.1465251015101604E-3</v>
      </c>
      <c r="C420" s="3">
        <v>9.0536361064038357E-3</v>
      </c>
      <c r="D420" s="3">
        <v>-1.8474530160014564E-2</v>
      </c>
      <c r="E420" s="3">
        <v>2.5394856776270746E-2</v>
      </c>
      <c r="F420" s="3">
        <v>-1.5557476231633534E-2</v>
      </c>
      <c r="G420" s="3">
        <v>-1.7331121562806202E-2</v>
      </c>
      <c r="H420" s="3">
        <v>-7.5977253273005422E-4</v>
      </c>
      <c r="I420" s="3">
        <v>1.0383702031602843E-2</v>
      </c>
      <c r="J420" s="3">
        <v>1.0359222990378704E-2</v>
      </c>
      <c r="K420" s="3">
        <v>-1.8474530160014564E-2</v>
      </c>
      <c r="L420" s="3">
        <v>4.3292269190020188E-2</v>
      </c>
      <c r="M420" s="3">
        <v>5.422123791251459E-2</v>
      </c>
      <c r="N420" s="3">
        <v>7.293654214703682E-2</v>
      </c>
      <c r="O420" s="3">
        <v>9.0536361064038357E-3</v>
      </c>
      <c r="P420" s="3">
        <v>-6.6698427822771333E-3</v>
      </c>
      <c r="Q420" s="3">
        <v>-4.0513166779203242E-3</v>
      </c>
      <c r="R420" s="3">
        <v>-1.4150943396226415E-2</v>
      </c>
      <c r="S420" s="3">
        <v>1.0002805353993323E-2</v>
      </c>
      <c r="T420" s="3">
        <v>9.8722028648858522E-3</v>
      </c>
      <c r="U420" s="3">
        <v>1.8214332338003306E-2</v>
      </c>
      <c r="V420" s="3">
        <v>2.1909233176838811E-2</v>
      </c>
      <c r="W420" s="3">
        <v>-6.9975600652813722E-3</v>
      </c>
      <c r="X420" s="3">
        <v>0</v>
      </c>
      <c r="Y420" s="3">
        <v>-7.1459458009767267E-3</v>
      </c>
      <c r="Z420" s="3">
        <v>-4.8000000000000395E-3</v>
      </c>
      <c r="AA420" s="3">
        <v>3.9289747664816702E-2</v>
      </c>
      <c r="AB420" s="3">
        <v>2.5700847402297116E-3</v>
      </c>
      <c r="AC420" s="3">
        <v>-3.3196309973925579E-3</v>
      </c>
      <c r="AD420" s="3">
        <v>9.8879492738721611E-3</v>
      </c>
      <c r="AE420" s="3">
        <v>-4.4480318435330957E-2</v>
      </c>
      <c r="AF420" s="3">
        <v>2.8603663154710637E-4</v>
      </c>
      <c r="AG420" s="3">
        <v>-3.6659879293681379E-3</v>
      </c>
      <c r="AH420" s="3">
        <v>-9.3002545327161446E-3</v>
      </c>
      <c r="AI420" s="3">
        <v>-6.1782485316553355E-4</v>
      </c>
      <c r="AJ420" s="3">
        <v>1.2707909582752181E-2</v>
      </c>
      <c r="AK420" s="3">
        <v>6.3694267515923483E-2</v>
      </c>
      <c r="AL420" s="3">
        <v>1.1644922789723825E-2</v>
      </c>
      <c r="AM420" s="3">
        <v>-6.6933951247657511E-3</v>
      </c>
      <c r="AN420" s="3">
        <v>-9.3733143043748667E-4</v>
      </c>
    </row>
    <row r="421" spans="1:40" x14ac:dyDescent="0.3">
      <c r="A421" s="101">
        <v>44918</v>
      </c>
      <c r="B421" s="3">
        <v>-1.9604487372687437E-2</v>
      </c>
      <c r="C421" s="3">
        <v>5.5480180193765083E-3</v>
      </c>
      <c r="D421" s="3">
        <v>2.2479382679985883E-3</v>
      </c>
      <c r="E421" s="3">
        <v>1.9914883293979339E-2</v>
      </c>
      <c r="F421" s="3">
        <v>1.1852502194907815E-2</v>
      </c>
      <c r="G421" s="3">
        <v>1.5208245507037673E-2</v>
      </c>
      <c r="H421" s="3">
        <v>-2.2246054645605357E-4</v>
      </c>
      <c r="I421" s="3">
        <v>5.2725650255837794E-2</v>
      </c>
      <c r="J421" s="3">
        <v>-2.7961928703375441E-3</v>
      </c>
      <c r="K421" s="3">
        <v>2.2479382679985883E-3</v>
      </c>
      <c r="L421" s="3">
        <v>2.5394856776270746E-2</v>
      </c>
      <c r="M421" s="3">
        <v>2.3460341824482651E-2</v>
      </c>
      <c r="N421" s="3">
        <v>3.6033556100320628E-2</v>
      </c>
      <c r="O421" s="3">
        <v>5.5480180193765083E-3</v>
      </c>
      <c r="P421" s="3">
        <v>-2.398129496402961E-3</v>
      </c>
      <c r="Q421" s="3">
        <v>1.8305084745762711E-2</v>
      </c>
      <c r="R421" s="3">
        <v>2.5358870813397136E-2</v>
      </c>
      <c r="S421" s="3">
        <v>-1.0731756116178454E-2</v>
      </c>
      <c r="T421" s="3">
        <v>-1.3992697488698379E-2</v>
      </c>
      <c r="U421" s="3">
        <v>4.6318329723942378E-3</v>
      </c>
      <c r="V421" s="3">
        <v>-1.0719754977029096E-2</v>
      </c>
      <c r="W421" s="3">
        <v>-2.4663607471548613E-2</v>
      </c>
      <c r="X421" s="3">
        <v>4.9999999999999524E-3</v>
      </c>
      <c r="Y421" s="3">
        <v>-1.4908922887516773E-2</v>
      </c>
      <c r="Z421" s="3">
        <v>-4.8231511254018264E-3</v>
      </c>
      <c r="AA421" s="3">
        <v>-6.7491071418643689E-2</v>
      </c>
      <c r="AB421" s="3">
        <v>-1.9027972875481816E-2</v>
      </c>
      <c r="AC421" s="3">
        <v>-2.0344472173544109E-2</v>
      </c>
      <c r="AD421" s="3">
        <v>8.1592400335864686E-3</v>
      </c>
      <c r="AE421" s="3">
        <v>-5.1510363486131999E-2</v>
      </c>
      <c r="AF421" s="3">
        <v>3.4887062445429128E-2</v>
      </c>
      <c r="AG421" s="3">
        <v>-8.1757975542031173E-4</v>
      </c>
      <c r="AH421" s="3">
        <v>-1.4751907789452954E-2</v>
      </c>
      <c r="AI421" s="3">
        <v>3.4345447484618904E-4</v>
      </c>
      <c r="AJ421" s="3">
        <v>-1.7213149230097001E-2</v>
      </c>
      <c r="AK421" s="3">
        <v>-1.7964071856287442E-2</v>
      </c>
      <c r="AL421" s="3">
        <v>-1.7769386711050876E-2</v>
      </c>
      <c r="AM421" s="3">
        <v>-3.354298047866127E-2</v>
      </c>
      <c r="AN421" s="3">
        <v>-2.416965368192844E-2</v>
      </c>
    </row>
    <row r="422" spans="1:40" x14ac:dyDescent="0.3">
      <c r="A422" s="101">
        <v>44921</v>
      </c>
      <c r="B422" s="3">
        <v>1.9466242362949678E-3</v>
      </c>
      <c r="C422" s="3">
        <v>1.0421628713463294E-2</v>
      </c>
      <c r="D422" s="3">
        <v>-9.4750581312353019E-3</v>
      </c>
      <c r="E422" s="3">
        <v>1.4603487631021266E-3</v>
      </c>
      <c r="F422" s="3">
        <v>-6.5075921908893707E-3</v>
      </c>
      <c r="G422" s="3">
        <v>-7.9999725490196467E-3</v>
      </c>
      <c r="H422" s="3">
        <v>-4.4834113779016388E-4</v>
      </c>
      <c r="I422" s="3">
        <v>-2.8013541087162298E-2</v>
      </c>
      <c r="J422" s="3">
        <v>8.1451790536444194E-3</v>
      </c>
      <c r="K422" s="3">
        <v>-9.4750581312353019E-3</v>
      </c>
      <c r="L422" s="3">
        <v>1.9914883293979339E-2</v>
      </c>
      <c r="M422" s="3">
        <v>-1.5428697717185377E-3</v>
      </c>
      <c r="N422" s="3">
        <v>-2.4714708464519234E-2</v>
      </c>
      <c r="O422" s="3">
        <v>1.0421628713463294E-2</v>
      </c>
      <c r="P422" s="3">
        <v>7.2116349620978655E-3</v>
      </c>
      <c r="Q422" s="3">
        <v>1.4647137150466045E-2</v>
      </c>
      <c r="R422" s="3">
        <v>-3.2197899539003316E-2</v>
      </c>
      <c r="S422" s="3">
        <v>0</v>
      </c>
      <c r="T422" s="3">
        <v>3.6936625912453807E-3</v>
      </c>
      <c r="U422" s="3">
        <v>6.6613580084654081E-2</v>
      </c>
      <c r="V422" s="3">
        <v>6.1919504643962852E-3</v>
      </c>
      <c r="W422" s="3">
        <v>3.6453188540348638E-2</v>
      </c>
      <c r="X422" s="3">
        <v>-9.949917081260402E-4</v>
      </c>
      <c r="Y422" s="3">
        <v>2.4453879652058277E-2</v>
      </c>
      <c r="Z422" s="3">
        <v>1.4539579967689798E-2</v>
      </c>
      <c r="AA422" s="3">
        <v>1.749775681249539E-2</v>
      </c>
      <c r="AB422" s="3">
        <v>5.1105942855332468E-3</v>
      </c>
      <c r="AC422" s="3">
        <v>1.6601270575183857E-2</v>
      </c>
      <c r="AD422" s="3">
        <v>-6.4745511847617461E-3</v>
      </c>
      <c r="AE422" s="3">
        <v>-4.8722934366198668E-3</v>
      </c>
      <c r="AF422" s="3">
        <v>1.7408224491067565E-2</v>
      </c>
      <c r="AG422" s="3">
        <v>-1.2275367746506481E-3</v>
      </c>
      <c r="AH422" s="3">
        <v>-1.8148824657861107E-2</v>
      </c>
      <c r="AI422" s="3">
        <v>-3.2961490907265178E-3</v>
      </c>
      <c r="AJ422" s="3">
        <v>-9.4258080808761972E-3</v>
      </c>
      <c r="AK422" s="3">
        <v>-2.4390243902438911E-2</v>
      </c>
      <c r="AL422" s="3">
        <v>4.7114015865205383E-3</v>
      </c>
      <c r="AM422" s="3">
        <v>1.2499980450693893E-2</v>
      </c>
      <c r="AN422" s="3">
        <v>5.7314809591140631E-3</v>
      </c>
    </row>
    <row r="423" spans="1:40" x14ac:dyDescent="0.3">
      <c r="A423" s="101">
        <v>44922</v>
      </c>
      <c r="B423" s="3">
        <v>1.448246195512827E-2</v>
      </c>
      <c r="C423" s="3">
        <v>1.1594974809351235E-2</v>
      </c>
      <c r="D423" s="3">
        <v>-5.8555639594996102E-3</v>
      </c>
      <c r="E423" s="3">
        <v>8.7492121048669033E-4</v>
      </c>
      <c r="F423" s="3">
        <v>-6.9868995633187774E-3</v>
      </c>
      <c r="G423" s="3">
        <v>1.9489278398067151E-2</v>
      </c>
      <c r="H423" s="3">
        <v>-1.9935210565659404E-4</v>
      </c>
      <c r="I423" s="3">
        <v>-1.7467248908296883E-2</v>
      </c>
      <c r="J423" s="3">
        <v>-4.7681662672619095E-3</v>
      </c>
      <c r="K423" s="3">
        <v>-5.8555639594996102E-3</v>
      </c>
      <c r="L423" s="3">
        <v>1.4603487631021266E-3</v>
      </c>
      <c r="M423" s="3">
        <v>1.9426071069008191E-2</v>
      </c>
      <c r="N423" s="3">
        <v>6.3439725034037289E-2</v>
      </c>
      <c r="O423" s="3">
        <v>1.1594974809351235E-2</v>
      </c>
      <c r="P423" s="3">
        <v>-2.8640571425271426E-3</v>
      </c>
      <c r="Q423" s="3">
        <v>-9.8425196850393699E-3</v>
      </c>
      <c r="R423" s="3">
        <v>9.3539154104315993E-3</v>
      </c>
      <c r="S423" s="3">
        <v>-3.2313748946231631E-2</v>
      </c>
      <c r="T423" s="3">
        <v>4.6484213703579039E-3</v>
      </c>
      <c r="U423" s="3">
        <v>-7.5122900217531055E-2</v>
      </c>
      <c r="V423" s="3">
        <v>-4.6153846153846158E-3</v>
      </c>
      <c r="W423" s="3">
        <v>-8.5550448003805096E-3</v>
      </c>
      <c r="X423" s="3">
        <v>-1.2284229339832973E-2</v>
      </c>
      <c r="Y423" s="3">
        <v>-6.0403316777429038E-3</v>
      </c>
      <c r="Z423" s="3">
        <v>0</v>
      </c>
      <c r="AA423" s="3">
        <v>-1.8197242092737907E-2</v>
      </c>
      <c r="AB423" s="3">
        <v>-1.889413569432399E-2</v>
      </c>
      <c r="AC423" s="3">
        <v>-4.1428141755254146E-2</v>
      </c>
      <c r="AD423" s="3">
        <v>-9.1235624769886777E-3</v>
      </c>
      <c r="AE423" s="3">
        <v>-3.8810246926444421E-3</v>
      </c>
      <c r="AF423" s="3">
        <v>-4.3726277776152289E-2</v>
      </c>
      <c r="AG423" s="3">
        <v>-1.7615731257681268E-2</v>
      </c>
      <c r="AH423" s="3">
        <v>-2.0332666041817139E-2</v>
      </c>
      <c r="AI423" s="3">
        <v>-6.6827014710870453E-3</v>
      </c>
      <c r="AJ423" s="3">
        <v>-8.3005434255182808E-3</v>
      </c>
      <c r="AK423" s="3">
        <v>-4.3750000000000039E-2</v>
      </c>
      <c r="AL423" s="3">
        <v>-2.5009582649322983E-2</v>
      </c>
      <c r="AM423" s="3">
        <v>-2.8324704566095329E-2</v>
      </c>
      <c r="AN423" s="3">
        <v>-1.9862734214064596E-2</v>
      </c>
    </row>
    <row r="424" spans="1:40" x14ac:dyDescent="0.3">
      <c r="A424" s="101">
        <v>44923</v>
      </c>
      <c r="B424" s="3">
        <v>1.2186755129882981E-3</v>
      </c>
      <c r="C424" s="3">
        <v>-8.7297483366696477E-3</v>
      </c>
      <c r="D424" s="3">
        <v>-3.9378305952857597E-3</v>
      </c>
      <c r="E424" s="3">
        <v>4.6203484159518318E-3</v>
      </c>
      <c r="F424" s="3">
        <v>-1.4511873350923483E-2</v>
      </c>
      <c r="G424" s="3">
        <v>-2.2063739071092027E-2</v>
      </c>
      <c r="H424" s="3">
        <v>-2.0603825000417559E-4</v>
      </c>
      <c r="I424" s="3">
        <v>-2.2221777777777637E-3</v>
      </c>
      <c r="J424" s="3">
        <v>1.3574823436040143E-2</v>
      </c>
      <c r="K424" s="3">
        <v>-3.9378305952857597E-3</v>
      </c>
      <c r="L424" s="3">
        <v>8.7492121048669033E-4</v>
      </c>
      <c r="M424" s="3">
        <v>4.3310957124297533E-4</v>
      </c>
      <c r="N424" s="3">
        <v>3.4388443885481429E-2</v>
      </c>
      <c r="O424" s="3">
        <v>-8.7297483366696477E-3</v>
      </c>
      <c r="P424" s="3">
        <v>1.1488751148336675E-2</v>
      </c>
      <c r="Q424" s="3">
        <v>-2.054340622929092E-2</v>
      </c>
      <c r="R424" s="3">
        <v>-2.5508723139557207E-2</v>
      </c>
      <c r="S424" s="3">
        <v>5.8049221617534367E-3</v>
      </c>
      <c r="T424" s="3">
        <v>-7.5187778584688827E-3</v>
      </c>
      <c r="U424" s="3">
        <v>-4.4480280470595289E-2</v>
      </c>
      <c r="V424" s="3">
        <v>-6.1823802163833074E-3</v>
      </c>
      <c r="W424" s="3">
        <v>4.4423102173527573E-2</v>
      </c>
      <c r="X424" s="3">
        <v>8.4033613445378148E-3</v>
      </c>
      <c r="Y424" s="3">
        <v>1.2446895410061542E-2</v>
      </c>
      <c r="Z424" s="3">
        <v>7.9617834394904181E-3</v>
      </c>
      <c r="AA424" s="3">
        <v>-3.3827896618386796E-2</v>
      </c>
      <c r="AB424" s="3">
        <v>-2.1024820043666362E-2</v>
      </c>
      <c r="AC424" s="3">
        <v>4.5261732741066554E-3</v>
      </c>
      <c r="AD424" s="3">
        <v>-2.0716825782435756E-2</v>
      </c>
      <c r="AE424" s="3">
        <v>-2.0379847504887697E-3</v>
      </c>
      <c r="AF424" s="3">
        <v>-3.976079513215003E-3</v>
      </c>
      <c r="AG424" s="3">
        <v>-6.6722268557131001E-3</v>
      </c>
      <c r="AH424" s="3">
        <v>9.4336777907596137E-4</v>
      </c>
      <c r="AI424" s="3">
        <v>-4.8544985046714901E-4</v>
      </c>
      <c r="AJ424" s="3">
        <v>-1.2521346932140489E-2</v>
      </c>
      <c r="AK424" s="3">
        <v>1.3071895424836612E-2</v>
      </c>
      <c r="AL424" s="3">
        <v>-4.6848754245865237E-3</v>
      </c>
      <c r="AM424" s="3">
        <v>9.9060241168213714E-3</v>
      </c>
      <c r="AN424" s="3">
        <v>-1.6477103314036685E-2</v>
      </c>
    </row>
    <row r="425" spans="1:40" x14ac:dyDescent="0.3">
      <c r="A425" s="101">
        <v>44924</v>
      </c>
      <c r="B425" s="3">
        <v>-2.1387586391418335E-2</v>
      </c>
      <c r="C425" s="3">
        <v>-8.2017329328283751E-3</v>
      </c>
      <c r="D425" s="3">
        <v>4.5393616174224674E-2</v>
      </c>
      <c r="E425" s="3">
        <v>1.6572844707553446E-3</v>
      </c>
      <c r="F425" s="3">
        <v>5.3547523427041497E-3</v>
      </c>
      <c r="G425" s="3">
        <v>8.2989723429695308E-2</v>
      </c>
      <c r="H425" s="3">
        <v>-1.9411473377363921E-3</v>
      </c>
      <c r="I425" s="3">
        <v>-2.8507882917243481E-2</v>
      </c>
      <c r="J425" s="3">
        <v>-3.4139984128599261E-3</v>
      </c>
      <c r="K425" s="3">
        <v>4.5393616174224674E-2</v>
      </c>
      <c r="L425" s="3">
        <v>4.6203484159518318E-3</v>
      </c>
      <c r="M425" s="3">
        <v>-8.4415625878449668E-2</v>
      </c>
      <c r="N425" s="3">
        <v>-1.9841269491335634E-2</v>
      </c>
      <c r="O425" s="3">
        <v>-8.2017329328283751E-3</v>
      </c>
      <c r="P425" s="3">
        <v>-1.5617606039640694E-2</v>
      </c>
      <c r="Q425" s="3">
        <v>8.119079837618403E-3</v>
      </c>
      <c r="R425" s="3">
        <v>-3.4313725490196081E-2</v>
      </c>
      <c r="S425" s="3">
        <v>0</v>
      </c>
      <c r="T425" s="3">
        <v>5.0505439005439018E-3</v>
      </c>
      <c r="U425" s="3">
        <v>2.3950053787766701E-2</v>
      </c>
      <c r="V425" s="3">
        <v>0</v>
      </c>
      <c r="W425" s="3">
        <v>2.7539796417878452E-2</v>
      </c>
      <c r="X425" s="3">
        <v>4.9999999999999524E-3</v>
      </c>
      <c r="Y425" s="3">
        <v>-7.8825354923528091E-3</v>
      </c>
      <c r="Z425" s="3">
        <v>-1.5797788309636315E-3</v>
      </c>
      <c r="AA425" s="3">
        <v>6.2270376573985505E-4</v>
      </c>
      <c r="AB425" s="3">
        <v>-1.0347015897613871E-2</v>
      </c>
      <c r="AC425" s="3">
        <v>-9.4808912604385093E-3</v>
      </c>
      <c r="AD425" s="3">
        <v>-1.040970606607023E-2</v>
      </c>
      <c r="AE425" s="3">
        <v>5.2255148890169995E-3</v>
      </c>
      <c r="AF425" s="3">
        <v>-3.8209192330215268E-2</v>
      </c>
      <c r="AG425" s="3">
        <v>5.8773719563391912E-3</v>
      </c>
      <c r="AH425" s="3">
        <v>1.7907571499582178E-2</v>
      </c>
      <c r="AI425" s="3">
        <v>-1.3878600585672412E-3</v>
      </c>
      <c r="AJ425" s="3">
        <v>-1.640135825753045E-2</v>
      </c>
      <c r="AK425" s="3">
        <v>-1.2903225806451623E-2</v>
      </c>
      <c r="AL425" s="3">
        <v>-1.5816155388148376E-2</v>
      </c>
      <c r="AM425" s="3">
        <v>-1.4752035864925734E-2</v>
      </c>
      <c r="AN425" s="3">
        <v>-2.9632308066777274E-2</v>
      </c>
    </row>
    <row r="426" spans="1:40" x14ac:dyDescent="0.3">
      <c r="A426" s="101">
        <v>44925</v>
      </c>
      <c r="B426" s="3">
        <v>8.2800320516535089E-2</v>
      </c>
      <c r="C426" s="3">
        <v>6.2359263019491854E-3</v>
      </c>
      <c r="D426" s="3">
        <v>8.2138499587642716E-3</v>
      </c>
      <c r="E426" s="3">
        <v>1.9442105703536203E-3</v>
      </c>
      <c r="F426" s="3">
        <v>1.4203284509542832E-2</v>
      </c>
      <c r="G426" s="3">
        <v>5.792116102366722E-2</v>
      </c>
      <c r="H426" s="3">
        <v>2.501090688682598E-3</v>
      </c>
      <c r="I426" s="3">
        <v>1.1921183490196356E-2</v>
      </c>
      <c r="J426" s="3">
        <v>1.2911660968192218E-2</v>
      </c>
      <c r="K426" s="3">
        <v>8.2138499587642716E-3</v>
      </c>
      <c r="L426" s="3">
        <v>1.6572844707553446E-3</v>
      </c>
      <c r="M426" s="3">
        <v>-4.5153665370062934E-2</v>
      </c>
      <c r="N426" s="3">
        <v>-1.880345445247952E-2</v>
      </c>
      <c r="O426" s="3">
        <v>6.2359263019491854E-3</v>
      </c>
      <c r="P426" s="3">
        <v>-6.249952223555298E-3</v>
      </c>
      <c r="Q426" s="3">
        <v>7.2483221476510068E-2</v>
      </c>
      <c r="R426" s="3">
        <v>-5.076142131979695E-3</v>
      </c>
      <c r="S426" s="3">
        <v>0</v>
      </c>
      <c r="T426" s="3">
        <v>-1.3722515897854051E-2</v>
      </c>
      <c r="U426" s="3">
        <v>9.0594372575004203E-3</v>
      </c>
      <c r="V426" s="3">
        <v>0</v>
      </c>
      <c r="W426" s="3">
        <v>-3.5139772023799519E-3</v>
      </c>
      <c r="X426" s="3">
        <v>-4.9751243781094058E-3</v>
      </c>
      <c r="Y426" s="3">
        <v>-1.2172884143554372E-2</v>
      </c>
      <c r="Z426" s="3">
        <v>-1.5822784810127649E-3</v>
      </c>
      <c r="AA426" s="3">
        <v>-5.256606706093004E-2</v>
      </c>
      <c r="AB426" s="3">
        <v>-1.2765262211670281E-2</v>
      </c>
      <c r="AC426" s="3">
        <v>-4.2298411310957941E-2</v>
      </c>
      <c r="AD426" s="3">
        <v>1.0519207928655409E-2</v>
      </c>
      <c r="AE426" s="3">
        <v>-9.1001409590096727E-2</v>
      </c>
      <c r="AF426" s="3">
        <v>-7.3525142868615223E-2</v>
      </c>
      <c r="AG426" s="3">
        <v>-2.921536015089161E-3</v>
      </c>
      <c r="AH426" s="3">
        <v>-3.2499903298626731E-2</v>
      </c>
      <c r="AI426" s="3">
        <v>-1.7094050310995524E-2</v>
      </c>
      <c r="AJ426" s="3">
        <v>1.5413607267797283E-3</v>
      </c>
      <c r="AK426" s="3">
        <v>-5.2287581699346448E-2</v>
      </c>
      <c r="AL426" s="3">
        <v>-2.5575571226869039E-2</v>
      </c>
      <c r="AM426" s="3">
        <v>-0.21790457452041317</v>
      </c>
      <c r="AN426" s="3">
        <v>-5.9501813097778126E-2</v>
      </c>
    </row>
    <row r="427" spans="1:40" x14ac:dyDescent="0.3">
      <c r="A427" s="101">
        <v>44928</v>
      </c>
      <c r="B427" s="3">
        <v>3.1506381700053258E-2</v>
      </c>
      <c r="C427" s="3">
        <v>6.5343843477387335E-3</v>
      </c>
      <c r="D427" s="3">
        <v>-6.0089995286109615E-3</v>
      </c>
      <c r="E427" s="3">
        <v>5.3670336038762027E-3</v>
      </c>
      <c r="F427" s="3">
        <v>4.9890590809628009E-2</v>
      </c>
      <c r="G427" s="3">
        <v>1.5573005063587858E-3</v>
      </c>
      <c r="H427" s="3">
        <v>1.9699687728389373E-3</v>
      </c>
      <c r="I427" s="3">
        <v>-1.4046216583597585E-2</v>
      </c>
      <c r="J427" s="3">
        <v>-8.9748848569379865E-3</v>
      </c>
      <c r="K427" s="3">
        <v>-6.0089995286109615E-3</v>
      </c>
      <c r="L427" s="3">
        <v>1.9442105703536203E-3</v>
      </c>
      <c r="M427" s="3">
        <v>1.8321416645739379E-2</v>
      </c>
      <c r="N427" s="3">
        <v>8.3440584695408052E-3</v>
      </c>
      <c r="O427" s="3">
        <v>6.5343843477387335E-3</v>
      </c>
      <c r="P427" s="3">
        <v>2.4189646831156264E-2</v>
      </c>
      <c r="Q427" s="3">
        <v>1.8773466833541927E-3</v>
      </c>
      <c r="R427" s="3">
        <v>5.2041020408163273E-3</v>
      </c>
      <c r="S427" s="3">
        <v>2.9139695466438755E-4</v>
      </c>
      <c r="T427" s="3">
        <v>8.2304920288163008E-3</v>
      </c>
      <c r="U427" s="3">
        <v>-1.5181141617306786E-2</v>
      </c>
      <c r="V427" s="3">
        <v>7.9315707620528766E-2</v>
      </c>
      <c r="W427" s="3">
        <v>1.9962883859440651E-2</v>
      </c>
      <c r="X427" s="3">
        <v>1.6666666666666666E-2</v>
      </c>
      <c r="Y427" s="3">
        <v>2.5457474160050911E-2</v>
      </c>
      <c r="Z427" s="3">
        <v>2.8526148969889163E-2</v>
      </c>
      <c r="AA427" s="3">
        <v>-1.4726128936415825E-2</v>
      </c>
      <c r="AB427" s="3">
        <v>-4.8641161742306515E-3</v>
      </c>
      <c r="AC427" s="3">
        <v>1.8273502531399831E-2</v>
      </c>
      <c r="AD427" s="3">
        <v>-8.394866323145702E-3</v>
      </c>
      <c r="AE427" s="3">
        <v>3.4115571086716208E-2</v>
      </c>
      <c r="AF427" s="3">
        <v>4.1599904180160671E-2</v>
      </c>
      <c r="AG427" s="3">
        <v>1.8836375840785943E-2</v>
      </c>
      <c r="AH427" s="3">
        <v>2.9667403116282621E-3</v>
      </c>
      <c r="AI427" s="3">
        <v>-1.2089006287053432E-2</v>
      </c>
      <c r="AJ427" s="3">
        <v>2.1336151906380073E-2</v>
      </c>
      <c r="AK427" s="3">
        <v>4.1379310344827627E-2</v>
      </c>
      <c r="AL427" s="3">
        <v>2.1523153672906906E-3</v>
      </c>
      <c r="AM427" s="3">
        <v>-2.6037750943396245E-2</v>
      </c>
      <c r="AN427" s="3">
        <v>1.3326983682095088E-2</v>
      </c>
    </row>
    <row r="428" spans="1:40" x14ac:dyDescent="0.3">
      <c r="A428" s="101">
        <v>44929</v>
      </c>
      <c r="B428" s="3">
        <v>-1.3999339808129877E-2</v>
      </c>
      <c r="C428" s="3">
        <v>2.4761407480050931E-3</v>
      </c>
      <c r="D428" s="3">
        <v>-5.3389860211148004E-3</v>
      </c>
      <c r="E428" s="3">
        <v>5.3378896191778435E-4</v>
      </c>
      <c r="F428" s="3">
        <v>1.0004168403501459E-2</v>
      </c>
      <c r="G428" s="3">
        <v>3.9910221974641863E-2</v>
      </c>
      <c r="H428" s="3">
        <v>6.3259872750843658E-3</v>
      </c>
      <c r="I428" s="3">
        <v>-1.1029411764705973E-2</v>
      </c>
      <c r="J428" s="3">
        <v>-3.1500869853656279E-3</v>
      </c>
      <c r="K428" s="3">
        <v>-5.3389860211148004E-3</v>
      </c>
      <c r="L428" s="3">
        <v>5.3670336038762027E-3</v>
      </c>
      <c r="M428" s="3">
        <v>8.7527593301054609E-3</v>
      </c>
      <c r="N428" s="3">
        <v>-8.1840592144761665E-3</v>
      </c>
      <c r="O428" s="3">
        <v>2.4761407480050931E-3</v>
      </c>
      <c r="P428" s="3">
        <v>8.5025980160604482E-3</v>
      </c>
      <c r="Q428" s="3">
        <v>2.4984384759525295E-3</v>
      </c>
      <c r="R428" s="3">
        <v>1.5125347373356057E-2</v>
      </c>
      <c r="S428" s="3">
        <v>2.5678856521152661E-3</v>
      </c>
      <c r="T428" s="3">
        <v>2.9348842966980759E-2</v>
      </c>
      <c r="U428" s="3">
        <v>-9.9455465653108029E-4</v>
      </c>
      <c r="V428" s="3">
        <v>-4.3227665706051877E-3</v>
      </c>
      <c r="W428" s="3">
        <v>4.9809197014167089E-3</v>
      </c>
      <c r="X428" s="3">
        <v>2.9508196721311428E-2</v>
      </c>
      <c r="Y428" s="3">
        <v>6.9799308701163233E-3</v>
      </c>
      <c r="Z428" s="3">
        <v>1.0785824345146286E-2</v>
      </c>
      <c r="AA428" s="3">
        <v>-1.2473125806451619E-2</v>
      </c>
      <c r="AB428" s="3">
        <v>-1.1384699835367768E-2</v>
      </c>
      <c r="AC428" s="3">
        <v>-2.7728279775694108E-2</v>
      </c>
      <c r="AD428" s="3">
        <v>9.8204768564891121E-3</v>
      </c>
      <c r="AE428" s="3">
        <v>-3.2608725983593496E-2</v>
      </c>
      <c r="AF428" s="3">
        <v>9.5238190763633455E-3</v>
      </c>
      <c r="AG428" s="3">
        <v>2.7115858668857854E-2</v>
      </c>
      <c r="AH428" s="3">
        <v>-9.6374425239652648E-3</v>
      </c>
      <c r="AI428" s="3">
        <v>-2.8839243247455217E-2</v>
      </c>
      <c r="AJ428" s="3">
        <v>-3.5616806525541021E-3</v>
      </c>
      <c r="AK428" s="3">
        <v>-1.3245033112582794E-2</v>
      </c>
      <c r="AL428" s="3">
        <v>-2.7893237561435209E-2</v>
      </c>
      <c r="AM428" s="3">
        <v>-5.354508929683726E-2</v>
      </c>
      <c r="AN428" s="3">
        <v>-3.1533746200447674E-2</v>
      </c>
    </row>
    <row r="429" spans="1:40" x14ac:dyDescent="0.3">
      <c r="A429" s="101">
        <v>44930</v>
      </c>
      <c r="B429" s="3">
        <v>1.5004851974795163E-2</v>
      </c>
      <c r="C429" s="3">
        <v>-4.6727977379572213E-4</v>
      </c>
      <c r="D429" s="3">
        <v>-5.7574627804947908E-4</v>
      </c>
      <c r="E429" s="3">
        <v>-4.1452619579745512E-3</v>
      </c>
      <c r="F429" s="3">
        <v>2.1048287247214196E-2</v>
      </c>
      <c r="G429" s="3">
        <v>-9.1377301556645231E-3</v>
      </c>
      <c r="H429" s="3">
        <v>-1.3508126291097533E-4</v>
      </c>
      <c r="I429" s="3">
        <v>-1.3940520446097183E-3</v>
      </c>
      <c r="J429" s="3">
        <v>4.2132143607227996E-3</v>
      </c>
      <c r="K429" s="3">
        <v>-5.7574627804947908E-4</v>
      </c>
      <c r="L429" s="3">
        <v>5.3378896191778435E-4</v>
      </c>
      <c r="M429" s="3">
        <v>1.156902812393228E-2</v>
      </c>
      <c r="N429" s="3">
        <v>-2.658852113321624E-3</v>
      </c>
      <c r="O429" s="3">
        <v>-4.6727977379572213E-4</v>
      </c>
      <c r="P429" s="3">
        <v>-5.1522248243561115E-3</v>
      </c>
      <c r="Q429" s="3">
        <v>2.866043613707165E-2</v>
      </c>
      <c r="R429" s="3">
        <v>-1.1800000000000067E-2</v>
      </c>
      <c r="S429" s="3">
        <v>0</v>
      </c>
      <c r="T429" s="3">
        <v>-1.7938085686142108E-2</v>
      </c>
      <c r="U429" s="3">
        <v>-3.5506857780704913E-2</v>
      </c>
      <c r="V429" s="3">
        <v>-7.2358900144717797E-3</v>
      </c>
      <c r="W429" s="3">
        <v>-1.457672035584784E-3</v>
      </c>
      <c r="X429" s="3">
        <v>4.7770382165605446E-3</v>
      </c>
      <c r="Y429" s="3">
        <v>-5.7167570999463319E-3</v>
      </c>
      <c r="Z429" s="3">
        <v>1.5243902439025421E-3</v>
      </c>
      <c r="AA429" s="3">
        <v>2.0699052858115689E-2</v>
      </c>
      <c r="AB429" s="3">
        <v>-5.6325647420612103E-4</v>
      </c>
      <c r="AC429" s="3">
        <v>-1.8390768316990238E-2</v>
      </c>
      <c r="AD429" s="3">
        <v>-1.5425913158772552E-2</v>
      </c>
      <c r="AE429" s="3">
        <v>-2.9371186945644411E-2</v>
      </c>
      <c r="AF429" s="3">
        <v>-3.6214239967226815E-2</v>
      </c>
      <c r="AG429" s="3">
        <v>-2.2399960000000049E-2</v>
      </c>
      <c r="AH429" s="3">
        <v>2.9868468806318769E-3</v>
      </c>
      <c r="AI429" s="3">
        <v>5.452659412828271E-3</v>
      </c>
      <c r="AJ429" s="3">
        <v>-1.0241859841415147E-2</v>
      </c>
      <c r="AK429" s="3">
        <v>4.6979865771812124E-2</v>
      </c>
      <c r="AL429" s="3">
        <v>1.9761693126906673E-2</v>
      </c>
      <c r="AM429" s="3">
        <v>-1.8339612361729731E-2</v>
      </c>
      <c r="AN429" s="3">
        <v>-7.9543244584072588E-3</v>
      </c>
    </row>
    <row r="430" spans="1:40" x14ac:dyDescent="0.3">
      <c r="A430" s="101">
        <v>44931</v>
      </c>
      <c r="B430" s="3">
        <v>7.788936351123146E-3</v>
      </c>
      <c r="C430" s="3">
        <v>3.0723590121458717E-3</v>
      </c>
      <c r="D430" s="3">
        <v>-1.587570046069189E-3</v>
      </c>
      <c r="E430" s="3">
        <v>4.6570621434919692E-3</v>
      </c>
      <c r="F430" s="3">
        <v>-3.1932093775262731E-2</v>
      </c>
      <c r="G430" s="3">
        <v>-4.0249830707585036E-4</v>
      </c>
      <c r="H430" s="3">
        <v>-1.0379596678529749E-3</v>
      </c>
      <c r="I430" s="3">
        <v>1.3029315960912106E-2</v>
      </c>
      <c r="J430" s="3">
        <v>1.3111410388021605E-2</v>
      </c>
      <c r="K430" s="3">
        <v>-1.587570046069189E-3</v>
      </c>
      <c r="L430" s="3">
        <v>-4.1452619579745512E-3</v>
      </c>
      <c r="M430" s="3">
        <v>3.3357111428231716E-2</v>
      </c>
      <c r="N430" s="3">
        <v>2.0132395846041446E-2</v>
      </c>
      <c r="O430" s="3">
        <v>3.0723590121458717E-3</v>
      </c>
      <c r="P430" s="3">
        <v>7.5329566854990659E-3</v>
      </c>
      <c r="Q430" s="3">
        <v>-3.0284675953967293E-3</v>
      </c>
      <c r="R430" s="3">
        <v>-3.2382108884840438E-3</v>
      </c>
      <c r="S430" s="3">
        <v>0</v>
      </c>
      <c r="T430" s="3">
        <v>3.4031937474790774E-2</v>
      </c>
      <c r="U430" s="3">
        <v>2.1331468630639915E-2</v>
      </c>
      <c r="V430" s="3">
        <v>-2.6239067055393587E-2</v>
      </c>
      <c r="W430" s="3">
        <v>1.9269989965846231E-2</v>
      </c>
      <c r="X430" s="3">
        <v>-1.7115658228705432E-2</v>
      </c>
      <c r="Y430" s="3">
        <v>-2.0841814150076377E-3</v>
      </c>
      <c r="Z430" s="3">
        <v>-4.5662100456621384E-3</v>
      </c>
      <c r="AA430" s="3">
        <v>-0.11554175403865416</v>
      </c>
      <c r="AB430" s="3">
        <v>-2.9432710347006407E-3</v>
      </c>
      <c r="AC430" s="3">
        <v>3.3974815294262037E-5</v>
      </c>
      <c r="AD430" s="3">
        <v>-1.2602141530455482E-2</v>
      </c>
      <c r="AE430" s="3">
        <v>6.7699701680889914E-4</v>
      </c>
      <c r="AF430" s="3">
        <v>-8.2096638418768034E-3</v>
      </c>
      <c r="AG430" s="3">
        <v>-2.1685801076685662E-2</v>
      </c>
      <c r="AH430" s="3">
        <v>-2.5936595503377725E-2</v>
      </c>
      <c r="AI430" s="3">
        <v>-1.1212846420682909E-2</v>
      </c>
      <c r="AJ430" s="3">
        <v>4.5142294006348515E-3</v>
      </c>
      <c r="AK430" s="3">
        <v>6.4102564102564161E-3</v>
      </c>
      <c r="AL430" s="3">
        <v>-9.207907412259246E-4</v>
      </c>
      <c r="AM430" s="3">
        <v>7.5062549622600505E-2</v>
      </c>
      <c r="AN430" s="3">
        <v>5.5086428991864816E-3</v>
      </c>
    </row>
    <row r="431" spans="1:40" x14ac:dyDescent="0.3">
      <c r="A431" s="101">
        <v>44932</v>
      </c>
      <c r="B431" s="3">
        <v>-3.4542656977428726E-2</v>
      </c>
      <c r="C431" s="3">
        <v>7.3246683367922697E-3</v>
      </c>
      <c r="D431" s="3">
        <v>-2.667192267031532E-3</v>
      </c>
      <c r="E431" s="3">
        <v>2.0388169070672191E-2</v>
      </c>
      <c r="F431" s="3">
        <v>1.8789144050104383E-2</v>
      </c>
      <c r="G431" s="3">
        <v>-1.5432018923162481E-2</v>
      </c>
      <c r="H431" s="3">
        <v>-2.3419589992248065E-3</v>
      </c>
      <c r="I431" s="3">
        <v>1.0564997703261388E-2</v>
      </c>
      <c r="J431" s="3">
        <v>2.5889746550296632E-4</v>
      </c>
      <c r="K431" s="3">
        <v>-2.667192267031532E-3</v>
      </c>
      <c r="L431" s="3">
        <v>4.6570621434919692E-3</v>
      </c>
      <c r="M431" s="3">
        <v>-2.0059926678808546E-2</v>
      </c>
      <c r="N431" s="3">
        <v>3.6946561800968777E-3</v>
      </c>
      <c r="O431" s="3">
        <v>7.3246683367922697E-3</v>
      </c>
      <c r="P431" s="3">
        <v>1.8692056074766437E-3</v>
      </c>
      <c r="Q431" s="3">
        <v>-5.4678007290400975E-3</v>
      </c>
      <c r="R431" s="3">
        <v>3.8883269035532929E-2</v>
      </c>
      <c r="S431" s="3">
        <v>0</v>
      </c>
      <c r="T431" s="3">
        <v>-1.004085180440408E-2</v>
      </c>
      <c r="U431" s="3">
        <v>-2.459150549311909E-2</v>
      </c>
      <c r="V431" s="3">
        <v>4.0419161676646706E-2</v>
      </c>
      <c r="W431" s="3">
        <v>2.2629680535181936E-2</v>
      </c>
      <c r="X431" s="3">
        <v>3.1925185424056701E-2</v>
      </c>
      <c r="Y431" s="3">
        <v>2.5279041039436494E-2</v>
      </c>
      <c r="Z431" s="3">
        <v>1.0703363914373131E-2</v>
      </c>
      <c r="AA431" s="3">
        <v>2.0805692744373598E-2</v>
      </c>
      <c r="AB431" s="3">
        <v>6.9777606599132388E-2</v>
      </c>
      <c r="AC431" s="3">
        <v>2.3995301520738779E-2</v>
      </c>
      <c r="AD431" s="3">
        <v>3.4489849438313616E-4</v>
      </c>
      <c r="AE431" s="3">
        <v>2.306852143499084E-2</v>
      </c>
      <c r="AF431" s="3">
        <v>4.9665688403056379E-2</v>
      </c>
      <c r="AG431" s="3">
        <v>-2.3002885821831857E-2</v>
      </c>
      <c r="AH431" s="3">
        <v>2.4654887634609997E-2</v>
      </c>
      <c r="AI431" s="3">
        <v>-1.8158811036213213E-2</v>
      </c>
      <c r="AJ431" s="3">
        <v>8.7804368897541566E-3</v>
      </c>
      <c r="AK431" s="3">
        <v>-7.0063694267515977E-2</v>
      </c>
      <c r="AL431" s="3">
        <v>3.2283694638614926E-2</v>
      </c>
      <c r="AM431" s="3">
        <v>-6.0512721163298554E-3</v>
      </c>
      <c r="AN431" s="3">
        <v>3.1084057600946482E-2</v>
      </c>
    </row>
    <row r="432" spans="1:40" x14ac:dyDescent="0.3">
      <c r="A432" s="101">
        <v>44935</v>
      </c>
      <c r="B432" s="3">
        <v>2.6302897886820383E-2</v>
      </c>
      <c r="C432" s="3">
        <v>-6.9408183338671428E-3</v>
      </c>
      <c r="D432" s="3">
        <v>2.1858124077077561E-3</v>
      </c>
      <c r="E432" s="3">
        <v>-5.4274286512449805E-3</v>
      </c>
      <c r="F432" s="3">
        <v>-1.0245901639344262E-2</v>
      </c>
      <c r="G432" s="3">
        <v>-1.5094803168724176E-2</v>
      </c>
      <c r="H432" s="3">
        <v>-7.5713742540209393E-4</v>
      </c>
      <c r="I432" s="3">
        <v>9.0909090909088968E-4</v>
      </c>
      <c r="J432" s="3">
        <v>7.11596154664902E-3</v>
      </c>
      <c r="K432" s="3">
        <v>2.1858124077077561E-3</v>
      </c>
      <c r="L432" s="3">
        <v>2.0388169070672191E-2</v>
      </c>
      <c r="M432" s="3">
        <v>3.8352964705882356E-2</v>
      </c>
      <c r="N432" s="3">
        <v>7.5417850837255209E-3</v>
      </c>
      <c r="O432" s="3">
        <v>-6.9408183338671428E-3</v>
      </c>
      <c r="P432" s="3">
        <v>-9.3288241917512268E-4</v>
      </c>
      <c r="Q432" s="3">
        <v>1.8326206475259621E-2</v>
      </c>
      <c r="R432" s="3">
        <v>-2.1499168933857378E-3</v>
      </c>
      <c r="S432" s="3">
        <v>0</v>
      </c>
      <c r="T432" s="3">
        <v>8.2644249337181248E-3</v>
      </c>
      <c r="U432" s="3">
        <v>8.9794281175049895E-3</v>
      </c>
      <c r="V432" s="3">
        <v>2.8776978417266188E-3</v>
      </c>
      <c r="W432" s="3">
        <v>-2.2408964582424983E-2</v>
      </c>
      <c r="X432" s="3">
        <v>1.0312562500000011E-2</v>
      </c>
      <c r="Y432" s="3">
        <v>-1.4470342691273282E-2</v>
      </c>
      <c r="Z432" s="3">
        <v>-1.3615733736762593E-2</v>
      </c>
      <c r="AA432" s="3">
        <v>0.10677611183619914</v>
      </c>
      <c r="AB432" s="3">
        <v>2.6125897015984185E-2</v>
      </c>
      <c r="AC432" s="3">
        <v>3.8281857891805847E-2</v>
      </c>
      <c r="AD432" s="3">
        <v>1.8965536438801008E-2</v>
      </c>
      <c r="AE432" s="3">
        <v>8.4771588567654294E-2</v>
      </c>
      <c r="AF432" s="3">
        <v>1.4558744681248658E-2</v>
      </c>
      <c r="AG432" s="3">
        <v>1.5410872627959258E-2</v>
      </c>
      <c r="AH432" s="3">
        <v>2.9355042083890406E-2</v>
      </c>
      <c r="AI432" s="3">
        <v>3.0648376439475777E-2</v>
      </c>
      <c r="AJ432" s="3">
        <v>1.4803558685056006E-2</v>
      </c>
      <c r="AK432" s="3">
        <v>4.7945205479452101E-2</v>
      </c>
      <c r="AL432" s="3">
        <v>1.8073418458565058E-2</v>
      </c>
      <c r="AM432" s="3">
        <v>0.11130198686005259</v>
      </c>
      <c r="AN432" s="3">
        <v>3.8863611917034815E-2</v>
      </c>
    </row>
    <row r="433" spans="1:40" x14ac:dyDescent="0.3">
      <c r="A433" s="101">
        <v>44936</v>
      </c>
      <c r="B433" s="3">
        <v>-1.9738909584466491E-2</v>
      </c>
      <c r="C433" s="3">
        <v>-6.3901980079441893E-3</v>
      </c>
      <c r="D433" s="3">
        <v>-3.1752888855826398E-3</v>
      </c>
      <c r="E433" s="3">
        <v>-1.7745210486863089E-2</v>
      </c>
      <c r="F433" s="3">
        <v>4.140786749482402E-3</v>
      </c>
      <c r="G433" s="3">
        <v>-7.4381390391200864E-3</v>
      </c>
      <c r="H433" s="3">
        <v>-5.2609636497197537E-4</v>
      </c>
      <c r="I433" s="3">
        <v>-1.4532198001816496E-2</v>
      </c>
      <c r="J433" s="3">
        <v>-1.284707557922688E-3</v>
      </c>
      <c r="K433" s="3">
        <v>-3.1752888855826398E-3</v>
      </c>
      <c r="L433" s="3">
        <v>-5.4274286512449805E-3</v>
      </c>
      <c r="M433" s="3">
        <v>4.5320869129370812E-3</v>
      </c>
      <c r="N433" s="3">
        <v>5.2575030720236476E-3</v>
      </c>
      <c r="O433" s="3">
        <v>-6.3901980079441893E-3</v>
      </c>
      <c r="P433" s="3">
        <v>-4.2016806722690661E-3</v>
      </c>
      <c r="Q433" s="3">
        <v>8.3983203359328136E-3</v>
      </c>
      <c r="R433" s="3">
        <v>3.9173537957364543E-3</v>
      </c>
      <c r="S433" s="3">
        <v>5.7008270478916233E-3</v>
      </c>
      <c r="T433" s="3">
        <v>5.0298081222056638E-2</v>
      </c>
      <c r="U433" s="3">
        <v>2.0595396687355549E-2</v>
      </c>
      <c r="V433" s="3">
        <v>1.8651362984218076E-2</v>
      </c>
      <c r="W433" s="3">
        <v>2.865284132737332E-3</v>
      </c>
      <c r="X433" s="3">
        <v>7.7327554758579971E-3</v>
      </c>
      <c r="Y433" s="3">
        <v>3.1860305804840193E-2</v>
      </c>
      <c r="Z433" s="3">
        <v>2.1472392638036897E-2</v>
      </c>
      <c r="AA433" s="3">
        <v>-5.8395274737229799E-3</v>
      </c>
      <c r="AB433" s="3">
        <v>-9.7268429914313618E-4</v>
      </c>
      <c r="AC433" s="3">
        <v>1.8323404892951312E-2</v>
      </c>
      <c r="AD433" s="3">
        <v>-1.2521112412097298E-2</v>
      </c>
      <c r="AE433" s="3">
        <v>1.3471453578699414E-2</v>
      </c>
      <c r="AF433" s="3">
        <v>7.4739106895048441E-3</v>
      </c>
      <c r="AG433" s="3">
        <v>6.3238619866719673E-3</v>
      </c>
      <c r="AH433" s="3">
        <v>-4.6749412085702197E-4</v>
      </c>
      <c r="AI433" s="3">
        <v>1.0034439761298706E-2</v>
      </c>
      <c r="AJ433" s="3">
        <v>1.0130030963822945E-3</v>
      </c>
      <c r="AK433" s="3">
        <v>3.9215686274509838E-2</v>
      </c>
      <c r="AL433" s="3">
        <v>1.6064967319978217E-2</v>
      </c>
      <c r="AM433" s="3">
        <v>7.0211146103930297E-2</v>
      </c>
      <c r="AN433" s="3">
        <v>1.0830761988844905E-2</v>
      </c>
    </row>
    <row r="434" spans="1:40" x14ac:dyDescent="0.3">
      <c r="A434" s="101">
        <v>44937</v>
      </c>
      <c r="B434" s="3">
        <v>-3.1178985294644586E-2</v>
      </c>
      <c r="C434" s="3">
        <v>3.4835408429492089E-3</v>
      </c>
      <c r="D434" s="3">
        <v>-1.9498449419553428E-3</v>
      </c>
      <c r="E434" s="3">
        <v>9.8353884866269579E-3</v>
      </c>
      <c r="F434" s="3">
        <v>1.8144329896907216E-2</v>
      </c>
      <c r="G434" s="3">
        <v>-2.8407090172333681E-2</v>
      </c>
      <c r="H434" s="3">
        <v>-2.3504719151703642E-4</v>
      </c>
      <c r="I434" s="3">
        <v>-1.8433271039941454E-2</v>
      </c>
      <c r="J434" s="3">
        <v>3.9877007729062827E-3</v>
      </c>
      <c r="K434" s="3">
        <v>-1.9498449419553428E-3</v>
      </c>
      <c r="L434" s="3">
        <v>-1.7745210486863089E-2</v>
      </c>
      <c r="M434" s="3">
        <v>-2.8648791849817661E-2</v>
      </c>
      <c r="N434" s="3">
        <v>-3.8294478118863128E-2</v>
      </c>
      <c r="O434" s="3">
        <v>3.4835408429492089E-3</v>
      </c>
      <c r="P434" s="3">
        <v>2.3440693858416896E-3</v>
      </c>
      <c r="Q434" s="3">
        <v>3.2718619869125519E-2</v>
      </c>
      <c r="R434" s="3">
        <v>-1.960786226499147E-2</v>
      </c>
      <c r="S434" s="3">
        <v>0</v>
      </c>
      <c r="T434" s="3">
        <v>-3.1394110830186096E-2</v>
      </c>
      <c r="U434" s="3">
        <v>-3.0524045607528541E-2</v>
      </c>
      <c r="V434" s="3">
        <v>2.8169014084507044E-3</v>
      </c>
      <c r="W434" s="3">
        <v>-1.54285334990912E-2</v>
      </c>
      <c r="X434" s="3">
        <v>1.2891282204341168E-2</v>
      </c>
      <c r="Y434" s="3">
        <v>5.1114939528495379E-3</v>
      </c>
      <c r="Z434" s="3">
        <v>3.0030030030029388E-3</v>
      </c>
      <c r="AA434" s="3">
        <v>-2.7479189132170723E-2</v>
      </c>
      <c r="AB434" s="3">
        <v>7.04414477656578E-3</v>
      </c>
      <c r="AC434" s="3">
        <v>1.2539184952978056E-2</v>
      </c>
      <c r="AD434" s="3">
        <v>2.0219366833539778E-2</v>
      </c>
      <c r="AE434" s="3">
        <v>-5.6297373279723791E-2</v>
      </c>
      <c r="AF434" s="3">
        <v>-2.7596495041277449E-2</v>
      </c>
      <c r="AG434" s="3">
        <v>8.7976116967904538E-3</v>
      </c>
      <c r="AH434" s="3">
        <v>3.8353677530067756E-2</v>
      </c>
      <c r="AI434" s="3">
        <v>1.7331267864907251E-2</v>
      </c>
      <c r="AJ434" s="3">
        <v>3.3060062104737099E-3</v>
      </c>
      <c r="AK434" s="3">
        <v>6.2893081761006345E-3</v>
      </c>
      <c r="AL434" s="3">
        <v>7.3673599887158644E-2</v>
      </c>
      <c r="AM434" s="3">
        <v>-6.0486062383938229E-2</v>
      </c>
      <c r="AN434" s="3">
        <v>-3.8427181825155085E-3</v>
      </c>
    </row>
    <row r="435" spans="1:40" x14ac:dyDescent="0.3">
      <c r="A435" s="101">
        <v>44938</v>
      </c>
      <c r="B435" s="3">
        <v>3.0171036953747909E-3</v>
      </c>
      <c r="C435" s="3">
        <v>-9.0126061560306912E-3</v>
      </c>
      <c r="D435" s="3">
        <v>6.3827817619492089E-4</v>
      </c>
      <c r="E435" s="3">
        <v>1.8338169918270481E-3</v>
      </c>
      <c r="F435" s="3">
        <v>-4.4552450384771165E-3</v>
      </c>
      <c r="G435" s="3">
        <v>-3.2394615246636685E-2</v>
      </c>
      <c r="H435" s="3">
        <v>4.5828421568496367E-3</v>
      </c>
      <c r="I435" s="3">
        <v>-4.6938969339855403E-4</v>
      </c>
      <c r="J435" s="3">
        <v>5.5093059057007999E-3</v>
      </c>
      <c r="K435" s="3">
        <v>6.3827817619492089E-4</v>
      </c>
      <c r="L435" s="3">
        <v>9.8353884866269579E-3</v>
      </c>
      <c r="M435" s="3">
        <v>-2.438464876022638E-2</v>
      </c>
      <c r="N435" s="3">
        <v>1.3549645378369316E-2</v>
      </c>
      <c r="O435" s="3">
        <v>-9.0126061560306912E-3</v>
      </c>
      <c r="P435" s="3">
        <v>-8.8867169731861421E-3</v>
      </c>
      <c r="Q435" s="3">
        <v>-9.2165898617511521E-3</v>
      </c>
      <c r="R435" s="3">
        <v>-4.9751243781094526E-3</v>
      </c>
      <c r="S435" s="3">
        <v>-9.377031018103052E-2</v>
      </c>
      <c r="T435" s="3">
        <v>7.3248487946381345E-4</v>
      </c>
      <c r="U435" s="3">
        <v>-1.24190838698297E-2</v>
      </c>
      <c r="V435" s="3">
        <v>-9.8314606741573031E-3</v>
      </c>
      <c r="W435" s="3">
        <v>-1.004072966167178E-2</v>
      </c>
      <c r="X435" s="3">
        <v>-3.3333636363635428E-3</v>
      </c>
      <c r="Y435" s="3">
        <v>-9.1402793327015602E-3</v>
      </c>
      <c r="Z435" s="3">
        <v>-1.6467065868263388E-2</v>
      </c>
      <c r="AA435" s="3">
        <v>-1.6032497202973572E-2</v>
      </c>
      <c r="AB435" s="3">
        <v>-1.6719673044337906E-2</v>
      </c>
      <c r="AC435" s="3">
        <v>-0.26390094427244581</v>
      </c>
      <c r="AD435" s="3">
        <v>2.6872055811580707E-3</v>
      </c>
      <c r="AE435" s="3">
        <v>-7.405988173587813E-2</v>
      </c>
      <c r="AF435" s="3">
        <v>1.007002465064641E-2</v>
      </c>
      <c r="AG435" s="3">
        <v>6.2292358803987605E-3</v>
      </c>
      <c r="AH435" s="3">
        <v>-3.9639719765029259E-2</v>
      </c>
      <c r="AI435" s="3">
        <v>-1.6536992070308672E-2</v>
      </c>
      <c r="AJ435" s="3">
        <v>-2.2863492058212403E-2</v>
      </c>
      <c r="AK435" s="3">
        <v>-4.3750000000000039E-2</v>
      </c>
      <c r="AL435" s="3">
        <v>-3.6382932833341264E-2</v>
      </c>
      <c r="AM435" s="3">
        <v>-5.5602133716067134E-2</v>
      </c>
      <c r="AN435" s="3">
        <v>-7.8127630612446569E-2</v>
      </c>
    </row>
    <row r="436" spans="1:40" x14ac:dyDescent="0.3">
      <c r="A436" s="101">
        <v>44939</v>
      </c>
      <c r="B436" s="3">
        <v>1.8549467570498093E-2</v>
      </c>
      <c r="C436" s="3">
        <v>4.0417399516650505E-4</v>
      </c>
      <c r="D436" s="3">
        <v>-5.4771751316500298E-4</v>
      </c>
      <c r="E436" s="3">
        <v>1.9890937288402223E-2</v>
      </c>
      <c r="F436" s="3">
        <v>-1.3018714401952807E-2</v>
      </c>
      <c r="G436" s="3">
        <v>2.5693285534282521E-2</v>
      </c>
      <c r="H436" s="3">
        <v>2.1985628584613938E-3</v>
      </c>
      <c r="I436" s="3">
        <v>2.8181774157737824E-3</v>
      </c>
      <c r="J436" s="3">
        <v>-6.2436426700710158E-3</v>
      </c>
      <c r="K436" s="3">
        <v>-5.4771751316500298E-4</v>
      </c>
      <c r="L436" s="3">
        <v>1.8338169918270481E-3</v>
      </c>
      <c r="M436" s="3">
        <v>-1.6900714920291198E-2</v>
      </c>
      <c r="N436" s="3">
        <v>2.3735913275153786E-2</v>
      </c>
      <c r="O436" s="3">
        <v>4.0417399516650505E-4</v>
      </c>
      <c r="P436" s="3">
        <v>1.4156677010068398E-3</v>
      </c>
      <c r="Q436" s="3">
        <v>8.7209302325581394E-3</v>
      </c>
      <c r="R436" s="3">
        <v>0</v>
      </c>
      <c r="S436" s="3">
        <v>-5.2579154495614958E-3</v>
      </c>
      <c r="T436" s="3">
        <v>-1.0430008767428778E-2</v>
      </c>
      <c r="U436" s="3">
        <v>2.3202285214351484E-2</v>
      </c>
      <c r="V436" s="3">
        <v>1.1347517730496455E-2</v>
      </c>
      <c r="W436" s="3">
        <v>1.2487721577302213E-2</v>
      </c>
      <c r="X436" s="3">
        <v>2.8884190601526021E-2</v>
      </c>
      <c r="Y436" s="3">
        <v>1.3386101357350012E-2</v>
      </c>
      <c r="Z436" s="3">
        <v>2.8919330289193225E-2</v>
      </c>
      <c r="AA436" s="3">
        <v>3.6111111176570447E-2</v>
      </c>
      <c r="AB436" s="3">
        <v>-1.6793271872313556E-3</v>
      </c>
      <c r="AC436" s="3">
        <v>-2.817963551858209E-3</v>
      </c>
      <c r="AD436" s="3">
        <v>-8.0402182821855631E-3</v>
      </c>
      <c r="AE436" s="3">
        <v>9.2579825802449209E-2</v>
      </c>
      <c r="AF436" s="3">
        <v>9.3656965748362131E-3</v>
      </c>
      <c r="AG436" s="3">
        <v>-6.1906727197689696E-3</v>
      </c>
      <c r="AH436" s="3">
        <v>-1.0787952662131266E-2</v>
      </c>
      <c r="AI436" s="3">
        <v>5.2909477423153002E-3</v>
      </c>
      <c r="AJ436" s="3">
        <v>5.5061295469639867E-4</v>
      </c>
      <c r="AK436" s="3">
        <v>6.5359477124182913E-2</v>
      </c>
      <c r="AL436" s="3">
        <v>2.5622693764607283E-3</v>
      </c>
      <c r="AM436" s="3">
        <v>1.1267275474349909E-2</v>
      </c>
      <c r="AN436" s="3">
        <v>0.13535901648382498</v>
      </c>
    </row>
    <row r="437" spans="1:40" x14ac:dyDescent="0.3">
      <c r="A437" s="101">
        <v>44942</v>
      </c>
      <c r="B437" s="3">
        <v>-7.2190113595931808E-3</v>
      </c>
      <c r="C437" s="3">
        <v>-4.9830723537662219E-3</v>
      </c>
      <c r="D437" s="3">
        <v>6.3181685550833735E-4</v>
      </c>
      <c r="E437" s="3">
        <v>2.5924359168836841E-2</v>
      </c>
      <c r="F437" s="3">
        <v>-4.9464138499587799E-2</v>
      </c>
      <c r="G437" s="3">
        <v>1.4133396294236012E-2</v>
      </c>
      <c r="H437" s="3">
        <v>2.6640618062338301E-4</v>
      </c>
      <c r="I437" s="3">
        <v>9.3676346604214637E-3</v>
      </c>
      <c r="J437" s="3">
        <v>5.1291029953719214E-4</v>
      </c>
      <c r="K437" s="3">
        <v>6.3181685550833735E-4</v>
      </c>
      <c r="L437" s="3">
        <v>1.9890937288402223E-2</v>
      </c>
      <c r="M437" s="3">
        <v>-1.7433341826473152E-2</v>
      </c>
      <c r="N437" s="3">
        <v>1.083770986941468E-2</v>
      </c>
      <c r="O437" s="3">
        <v>-4.9830723537662219E-3</v>
      </c>
      <c r="P437" s="3">
        <v>4.7130068196511401E-4</v>
      </c>
      <c r="Q437" s="3">
        <v>-1.6138328530259365E-2</v>
      </c>
      <c r="R437" s="3">
        <v>2.1999969999999962E-2</v>
      </c>
      <c r="S437" s="3">
        <v>0</v>
      </c>
      <c r="T437" s="3">
        <v>2.4037905915758476E-3</v>
      </c>
      <c r="U437" s="3">
        <v>1.298251687727194E-2</v>
      </c>
      <c r="V437" s="3">
        <v>5.6100981767180924E-3</v>
      </c>
      <c r="W437" s="3">
        <v>6.6588586351853446E-3</v>
      </c>
      <c r="X437" s="3">
        <v>-1.7730437352246053E-2</v>
      </c>
      <c r="Y437" s="3">
        <v>-5.4754636542646696E-4</v>
      </c>
      <c r="Z437" s="3">
        <v>7.3964497041419854E-3</v>
      </c>
      <c r="AA437" s="3">
        <v>-1.7307187478151478E-2</v>
      </c>
      <c r="AB437" s="3">
        <v>-4.2345359526708677E-3</v>
      </c>
      <c r="AC437" s="3">
        <v>-5.1372863492730528E-2</v>
      </c>
      <c r="AD437" s="3">
        <v>-2.0263381590461252E-3</v>
      </c>
      <c r="AE437" s="3">
        <v>-1.8647968717897527E-2</v>
      </c>
      <c r="AF437" s="3">
        <v>1.7659352810771231E-2</v>
      </c>
      <c r="AG437" s="3">
        <v>1.1212624584717739E-2</v>
      </c>
      <c r="AH437" s="3">
        <v>2.8923652634156725E-2</v>
      </c>
      <c r="AI437" s="3">
        <v>-8.5075792143973483E-3</v>
      </c>
      <c r="AJ437" s="3">
        <v>-1.7194344843367471E-3</v>
      </c>
      <c r="AK437" s="3">
        <v>-3.6809815950920144E-2</v>
      </c>
      <c r="AL437" s="3">
        <v>-2.8514304895355544E-2</v>
      </c>
      <c r="AM437" s="3">
        <v>-1.9674785440738633E-2</v>
      </c>
      <c r="AN437" s="3">
        <v>1.8777337374891101E-3</v>
      </c>
    </row>
    <row r="438" spans="1:40" x14ac:dyDescent="0.3">
      <c r="A438" s="101">
        <v>44943</v>
      </c>
      <c r="B438" s="3">
        <v>-6.6104737680006327E-4</v>
      </c>
      <c r="C438" s="3">
        <v>-5.7525196495923575E-3</v>
      </c>
      <c r="D438" s="3">
        <v>1.9438616669521857E-2</v>
      </c>
      <c r="E438" s="3">
        <v>-2.8651450726361834E-2</v>
      </c>
      <c r="F438" s="3">
        <v>-2.6019080659150044E-2</v>
      </c>
      <c r="G438" s="3">
        <v>-7.7701490431291795E-3</v>
      </c>
      <c r="H438" s="3">
        <v>-1.6012994528619299E-3</v>
      </c>
      <c r="I438" s="3">
        <v>-2.7841764633029101E-3</v>
      </c>
      <c r="J438" s="3">
        <v>3.4601284260261712E-3</v>
      </c>
      <c r="K438" s="3">
        <v>1.9438616669521857E-2</v>
      </c>
      <c r="L438" s="3">
        <v>2.5924359168836841E-2</v>
      </c>
      <c r="M438" s="3">
        <v>7.3435161486684983E-2</v>
      </c>
      <c r="N438" s="3">
        <v>-5.4486597640507704E-3</v>
      </c>
      <c r="O438" s="3">
        <v>-5.7525196495923575E-3</v>
      </c>
      <c r="P438" s="3">
        <v>3.2971738106452779E-3</v>
      </c>
      <c r="Q438" s="3">
        <v>-1.054481546572935E-2</v>
      </c>
      <c r="R438" s="3">
        <v>1.4970704940431654E-2</v>
      </c>
      <c r="S438" s="3">
        <v>3.7024970636609297E-2</v>
      </c>
      <c r="T438" s="3">
        <v>-8.485500986635388E-3</v>
      </c>
      <c r="U438" s="3">
        <v>-7.1770676691729962E-3</v>
      </c>
      <c r="V438" s="3">
        <v>0</v>
      </c>
      <c r="W438" s="3">
        <v>-8.3405681438755413E-3</v>
      </c>
      <c r="X438" s="3">
        <v>1.173282119537788E-2</v>
      </c>
      <c r="Y438" s="3">
        <v>-1.3698555185226108E-4</v>
      </c>
      <c r="Z438" s="3">
        <v>8.8105726872247433E-3</v>
      </c>
      <c r="AA438" s="3">
        <v>1.6157193075916114E-2</v>
      </c>
      <c r="AB438" s="3">
        <v>1.8466644066063256E-2</v>
      </c>
      <c r="AC438" s="3">
        <v>-2.1030683010436434E-2</v>
      </c>
      <c r="AD438" s="3">
        <v>1.6920553854947653E-3</v>
      </c>
      <c r="AE438" s="3">
        <v>5.7775565056807077E-4</v>
      </c>
      <c r="AF438" s="3">
        <v>1.5588326872451078E-2</v>
      </c>
      <c r="AG438" s="3">
        <v>1.1498932238193023E-2</v>
      </c>
      <c r="AH438" s="3">
        <v>-5.4377827599769578E-2</v>
      </c>
      <c r="AI438" s="3">
        <v>-2.4723907219932747E-3</v>
      </c>
      <c r="AJ438" s="3">
        <v>-1.1092682153639458E-2</v>
      </c>
      <c r="AK438" s="3">
        <v>6.3694267515923622E-3</v>
      </c>
      <c r="AL438" s="3">
        <v>1.9792496803106149E-3</v>
      </c>
      <c r="AM438" s="3">
        <v>3.5563118096545556E-3</v>
      </c>
      <c r="AN438" s="3">
        <v>2.2021628943324253E-2</v>
      </c>
    </row>
    <row r="439" spans="1:40" x14ac:dyDescent="0.3">
      <c r="A439" s="101">
        <v>44944</v>
      </c>
      <c r="B439" s="3">
        <v>-3.8200751050557306E-2</v>
      </c>
      <c r="C439" s="3">
        <v>-2.5457997522978407E-2</v>
      </c>
      <c r="D439" s="3">
        <v>-4.4746809029502363E-3</v>
      </c>
      <c r="E439" s="3">
        <v>6.6036510614716128E-3</v>
      </c>
      <c r="F439" s="3">
        <v>-1.0240427426536063E-2</v>
      </c>
      <c r="G439" s="3">
        <v>-2.5432922166949447E-2</v>
      </c>
      <c r="H439" s="3">
        <v>-2.3152341087006923E-3</v>
      </c>
      <c r="I439" s="3">
        <v>5.1186598417870171E-3</v>
      </c>
      <c r="J439" s="3">
        <v>-5.3640283888157407E-3</v>
      </c>
      <c r="K439" s="3">
        <v>-4.4746809029502363E-3</v>
      </c>
      <c r="L439" s="3">
        <v>-2.8651450726361834E-2</v>
      </c>
      <c r="M439" s="3">
        <v>-9.1827592014977946E-3</v>
      </c>
      <c r="N439" s="3">
        <v>6.7155784521618529E-3</v>
      </c>
      <c r="O439" s="3">
        <v>-2.5457997522978407E-2</v>
      </c>
      <c r="P439" s="3">
        <v>-1.6431831757362965E-2</v>
      </c>
      <c r="Q439" s="3">
        <v>-1.1841326228537596E-2</v>
      </c>
      <c r="R439" s="3">
        <v>2.6028824080917418E-3</v>
      </c>
      <c r="S439" s="3">
        <v>0</v>
      </c>
      <c r="T439" s="3">
        <v>1.9720948837209297E-2</v>
      </c>
      <c r="U439" s="3">
        <v>2.4784906188809117E-2</v>
      </c>
      <c r="V439" s="3">
        <v>2.0920502092050208E-2</v>
      </c>
      <c r="W439" s="3">
        <v>5.8011095873513089E-4</v>
      </c>
      <c r="X439" s="3">
        <v>-4.2521556868226076E-2</v>
      </c>
      <c r="Y439" s="3">
        <v>9.5883161971198534E-4</v>
      </c>
      <c r="Z439" s="3">
        <v>1.4556040756913808E-3</v>
      </c>
      <c r="AA439" s="3">
        <v>1.0845917194067878E-2</v>
      </c>
      <c r="AB439" s="3">
        <v>8.2937223914146228E-3</v>
      </c>
      <c r="AC439" s="3">
        <v>5.36833834852561E-2</v>
      </c>
      <c r="AD439" s="3">
        <v>3.0405444841608301E-2</v>
      </c>
      <c r="AE439" s="3">
        <v>5.8385768905519116E-2</v>
      </c>
      <c r="AF439" s="3">
        <v>3.6200403077315021E-2</v>
      </c>
      <c r="AG439" s="3">
        <v>3.6540805381275027E-3</v>
      </c>
      <c r="AH439" s="3">
        <v>2.0467810313405506E-2</v>
      </c>
      <c r="AI439" s="3">
        <v>2.2670846535244444E-2</v>
      </c>
      <c r="AJ439" s="3">
        <v>1.9020292681762276E-2</v>
      </c>
      <c r="AK439" s="3">
        <v>6.329113924050638E-3</v>
      </c>
      <c r="AL439" s="3">
        <v>1.6090494768961794E-2</v>
      </c>
      <c r="AM439" s="3">
        <v>2.3195341172144255E-2</v>
      </c>
      <c r="AN439" s="3">
        <v>-1.3877340047484261E-3</v>
      </c>
    </row>
    <row r="440" spans="1:40" x14ac:dyDescent="0.3">
      <c r="A440" s="101">
        <v>44945</v>
      </c>
      <c r="B440" s="3">
        <v>-3.0261347503253436E-2</v>
      </c>
      <c r="C440" s="3">
        <v>-8.5911365112734742E-3</v>
      </c>
      <c r="D440" s="3">
        <v>-9.5100790162932682E-3</v>
      </c>
      <c r="E440" s="3">
        <v>6.6399601126078652E-3</v>
      </c>
      <c r="F440" s="3">
        <v>1.5294646873594242E-2</v>
      </c>
      <c r="G440" s="3">
        <v>2.3959602976467158E-3</v>
      </c>
      <c r="H440" s="3">
        <v>-5.5126791620736988E-4</v>
      </c>
      <c r="I440" s="3">
        <v>1.6666620370370297E-2</v>
      </c>
      <c r="J440" s="3">
        <v>-3.8520388952480093E-3</v>
      </c>
      <c r="K440" s="3">
        <v>-9.5100790162932682E-3</v>
      </c>
      <c r="L440" s="3">
        <v>6.6036510614716128E-3</v>
      </c>
      <c r="M440" s="3">
        <v>-3.5681209453197332E-2</v>
      </c>
      <c r="N440" s="3">
        <v>8.7773194066532081E-3</v>
      </c>
      <c r="O440" s="3">
        <v>-8.5911365112734742E-3</v>
      </c>
      <c r="P440" s="3">
        <v>5.7278756215811142E-3</v>
      </c>
      <c r="Q440" s="3">
        <v>4.0143798681845415E-2</v>
      </c>
      <c r="R440" s="3">
        <v>0</v>
      </c>
      <c r="S440" s="3">
        <v>0</v>
      </c>
      <c r="T440" s="3">
        <v>-1.824849446727809E-4</v>
      </c>
      <c r="U440" s="3">
        <v>2.7208582008589485E-2</v>
      </c>
      <c r="V440" s="3">
        <v>4.0983606557377051E-3</v>
      </c>
      <c r="W440" s="3">
        <v>9.2753504690035477E-3</v>
      </c>
      <c r="X440" s="3">
        <v>3.4161427510514653E-2</v>
      </c>
      <c r="Y440" s="3">
        <v>-4.6527063148562023E-3</v>
      </c>
      <c r="Z440" s="3">
        <v>1.5988372093023302E-2</v>
      </c>
      <c r="AA440" s="3">
        <v>-2.9452768178635801E-2</v>
      </c>
      <c r="AB440" s="3">
        <v>-2.3598831219363386E-2</v>
      </c>
      <c r="AC440" s="3">
        <v>-1.6939624999999982E-2</v>
      </c>
      <c r="AD440" s="3">
        <v>8.5245491959161628E-3</v>
      </c>
      <c r="AE440" s="3">
        <v>4.1827532172692148E-3</v>
      </c>
      <c r="AF440" s="3">
        <v>2.794841979915314E-3</v>
      </c>
      <c r="AG440" s="3">
        <v>-6.8770229319184721E-3</v>
      </c>
      <c r="AH440" s="3">
        <v>-1.3371617727216191E-2</v>
      </c>
      <c r="AI440" s="3">
        <v>-1.7392315332807259E-2</v>
      </c>
      <c r="AJ440" s="3">
        <v>-9.8453545199528834E-3</v>
      </c>
      <c r="AK440" s="3">
        <v>6.2893081761006345E-3</v>
      </c>
      <c r="AL440" s="3">
        <v>-2.0151640046835808E-2</v>
      </c>
      <c r="AM440" s="3">
        <v>-1.6033388455761022E-2</v>
      </c>
      <c r="AN440" s="3">
        <v>-1.3561708508071129E-2</v>
      </c>
    </row>
    <row r="441" spans="1:40" x14ac:dyDescent="0.3">
      <c r="A441" s="101">
        <v>44946</v>
      </c>
      <c r="B441" s="3">
        <v>-1.329787791969392E-2</v>
      </c>
      <c r="C441" s="3">
        <v>8.5953513298569033E-3</v>
      </c>
      <c r="D441" s="3">
        <v>-5.9224893451152337E-3</v>
      </c>
      <c r="E441" s="3">
        <v>2.1723097662912304E-3</v>
      </c>
      <c r="F441" s="3">
        <v>-6.202924235711121E-3</v>
      </c>
      <c r="G441" s="3">
        <v>-3.1549978383527327E-2</v>
      </c>
      <c r="H441" s="3">
        <v>-1.8198572518503034E-3</v>
      </c>
      <c r="I441" s="3">
        <v>-2.8233106932290843E-2</v>
      </c>
      <c r="J441" s="3">
        <v>-1.5338957257860587E-2</v>
      </c>
      <c r="K441" s="3">
        <v>-5.9224893451152337E-3</v>
      </c>
      <c r="L441" s="3">
        <v>6.6399601126078652E-3</v>
      </c>
      <c r="M441" s="3">
        <v>2.1143705457561401E-2</v>
      </c>
      <c r="N441" s="3">
        <v>1.3312442356216736E-2</v>
      </c>
      <c r="O441" s="3">
        <v>8.5953513298569033E-3</v>
      </c>
      <c r="P441" s="3">
        <v>-2.3730422401519085E-3</v>
      </c>
      <c r="Q441" s="3">
        <v>-3.1682027649769587E-2</v>
      </c>
      <c r="R441" s="3">
        <v>1.9230769230769232E-2</v>
      </c>
      <c r="S441" s="3">
        <v>0</v>
      </c>
      <c r="T441" s="3">
        <v>3.4124069965767702E-2</v>
      </c>
      <c r="U441" s="3">
        <v>4.5781393067364888E-3</v>
      </c>
      <c r="V441" s="3">
        <v>-1.2244897959183673E-2</v>
      </c>
      <c r="W441" s="3">
        <v>-4.0206384706015291E-3</v>
      </c>
      <c r="X441" s="3">
        <v>3.6036067148230252E-2</v>
      </c>
      <c r="Y441" s="3">
        <v>1.1617536181910044E-2</v>
      </c>
      <c r="Z441" s="3">
        <v>1.2875536480686674E-2</v>
      </c>
      <c r="AA441" s="3">
        <v>-4.925103260379346E-2</v>
      </c>
      <c r="AB441" s="3">
        <v>-2.0218369847859127E-2</v>
      </c>
      <c r="AC441" s="3">
        <v>-3.7356968204942442E-2</v>
      </c>
      <c r="AD441" s="3">
        <v>-9.7529385503458809E-3</v>
      </c>
      <c r="AE441" s="3">
        <v>-1.0322922197027063E-2</v>
      </c>
      <c r="AF441" s="3">
        <v>3.3445746695778046E-3</v>
      </c>
      <c r="AG441" s="3">
        <v>-6.9246438665841962E-3</v>
      </c>
      <c r="AH441" s="3">
        <v>-5.0338676598242718E-2</v>
      </c>
      <c r="AI441" s="3">
        <v>-4.3525523874274066E-2</v>
      </c>
      <c r="AJ441" s="3">
        <v>-3.2039854356185532E-2</v>
      </c>
      <c r="AK441" s="3">
        <v>-1.8750000000000017E-2</v>
      </c>
      <c r="AL441" s="3">
        <v>-3.2268452775954026E-2</v>
      </c>
      <c r="AM441" s="3">
        <v>-3.6822781413962627E-2</v>
      </c>
      <c r="AN441" s="3">
        <v>-3.5911103940898324E-2</v>
      </c>
    </row>
    <row r="442" spans="1:40" x14ac:dyDescent="0.3">
      <c r="A442" s="101">
        <v>44949</v>
      </c>
      <c r="B442" s="3">
        <v>1.3836438078472443E-2</v>
      </c>
      <c r="C442" s="3">
        <v>-5.3786981273024493E-3</v>
      </c>
      <c r="D442" s="3">
        <v>-4.2296759067489134E-3</v>
      </c>
      <c r="E442" s="3">
        <v>-7.0941083201278097E-3</v>
      </c>
      <c r="F442" s="3">
        <v>-1.6941596076683014E-2</v>
      </c>
      <c r="G442" s="3">
        <v>-1.4504336380459863E-2</v>
      </c>
      <c r="H442" s="3">
        <v>7.3125537687771262E-4</v>
      </c>
      <c r="I442" s="3">
        <v>-6.5604029990627716E-3</v>
      </c>
      <c r="J442" s="3">
        <v>1.0603412979630101E-2</v>
      </c>
      <c r="K442" s="3">
        <v>-4.2296759067489134E-3</v>
      </c>
      <c r="L442" s="3">
        <v>2.1723097662912304E-3</v>
      </c>
      <c r="M442" s="3">
        <v>-4.1411717647058893E-2</v>
      </c>
      <c r="N442" s="3">
        <v>1.6314872199166375E-3</v>
      </c>
      <c r="O442" s="3">
        <v>-5.3786981273024493E-3</v>
      </c>
      <c r="P442" s="3">
        <v>-1.5699286393910602E-2</v>
      </c>
      <c r="Q442" s="3">
        <v>-3.8667459845330161E-2</v>
      </c>
      <c r="R442" s="3">
        <v>0</v>
      </c>
      <c r="S442" s="3">
        <v>0</v>
      </c>
      <c r="T442" s="3">
        <v>4.5880008677607522E-3</v>
      </c>
      <c r="U442" s="3">
        <v>-5.6965984000096883E-3</v>
      </c>
      <c r="V442" s="3">
        <v>5.3719008264462811E-2</v>
      </c>
      <c r="W442" s="3">
        <v>-8.3622128225848674E-3</v>
      </c>
      <c r="X442" s="3">
        <v>2.3188376811594195E-2</v>
      </c>
      <c r="Y442" s="3">
        <v>-1.3454817519575432E-2</v>
      </c>
      <c r="Z442" s="3">
        <v>-9.8870056497175549E-3</v>
      </c>
      <c r="AA442" s="3">
        <v>1.8325664635373547E-2</v>
      </c>
      <c r="AB442" s="3">
        <v>1.4231176179469009E-3</v>
      </c>
      <c r="AC442" s="3">
        <v>-8.4263537905759339E-3</v>
      </c>
      <c r="AD442" s="3">
        <v>6.5659855433330434E-3</v>
      </c>
      <c r="AE442" s="3">
        <v>-3.0010967060986084E-2</v>
      </c>
      <c r="AF442" s="3">
        <v>-2.6944506659420976E-2</v>
      </c>
      <c r="AG442" s="3">
        <v>-3.2813783134282262E-3</v>
      </c>
      <c r="AH442" s="3">
        <v>-3.0583209146936696E-3</v>
      </c>
      <c r="AI442" s="3">
        <v>-1.2438474033673675E-2</v>
      </c>
      <c r="AJ442" s="3">
        <v>1.0058434406340765E-2</v>
      </c>
      <c r="AK442" s="3">
        <v>3.8216560509554034E-2</v>
      </c>
      <c r="AL442" s="3">
        <v>8.7228655512239222E-3</v>
      </c>
      <c r="AM442" s="3">
        <v>1.344205112796522E-2</v>
      </c>
      <c r="AN442" s="3">
        <v>1.2221679088382667E-2</v>
      </c>
    </row>
    <row r="443" spans="1:40" x14ac:dyDescent="0.3">
      <c r="A443" s="101">
        <v>44950</v>
      </c>
      <c r="B443" s="3">
        <v>-2.4282160650030266E-2</v>
      </c>
      <c r="C443" s="3">
        <v>1.6784822588950025E-2</v>
      </c>
      <c r="D443" s="3">
        <v>-8.4370051747539258E-3</v>
      </c>
      <c r="E443" s="3">
        <v>2.7706053481350201E-2</v>
      </c>
      <c r="F443" s="3">
        <v>3.9909297052154194E-2</v>
      </c>
      <c r="G443" s="3">
        <v>-3.5484463208682454E-2</v>
      </c>
      <c r="H443" s="3">
        <v>1.5672478268488619E-3</v>
      </c>
      <c r="I443" s="3">
        <v>-4.7170280793854156E-3</v>
      </c>
      <c r="J443" s="3">
        <v>4.6631676983079143E-3</v>
      </c>
      <c r="K443" s="3">
        <v>-8.4370051747539258E-3</v>
      </c>
      <c r="L443" s="3">
        <v>-7.0941083201278097E-3</v>
      </c>
      <c r="M443" s="3">
        <v>-3.0436964632451345E-2</v>
      </c>
      <c r="N443" s="3">
        <v>1.0630064112643585E-2</v>
      </c>
      <c r="O443" s="3">
        <v>1.6784822588950025E-2</v>
      </c>
      <c r="P443" s="3">
        <v>-2.9000481923609975E-3</v>
      </c>
      <c r="Q443" s="3">
        <v>1.2376237623762377E-2</v>
      </c>
      <c r="R443" s="3">
        <v>1.4150943396226415E-2</v>
      </c>
      <c r="S443" s="3">
        <v>0</v>
      </c>
      <c r="T443" s="3">
        <v>-4.1805743896012645E-2</v>
      </c>
      <c r="U443" s="3">
        <v>5.9420543460468045E-2</v>
      </c>
      <c r="V443" s="3">
        <v>-1.30718954248366E-3</v>
      </c>
      <c r="W443" s="3">
        <v>1.5411477805322725E-2</v>
      </c>
      <c r="X443" s="3">
        <v>-1.5580708656677289E-2</v>
      </c>
      <c r="Y443" s="3">
        <v>1.3293897872002343E-2</v>
      </c>
      <c r="Z443" s="3">
        <v>2.8530670470756088E-2</v>
      </c>
      <c r="AA443" s="3">
        <v>5.3290765645451016E-2</v>
      </c>
      <c r="AB443" s="3">
        <v>2.3152440334357514E-2</v>
      </c>
      <c r="AC443" s="3">
        <v>1.5158488954871248E-2</v>
      </c>
      <c r="AD443" s="3">
        <v>3.4572716049833974E-2</v>
      </c>
      <c r="AE443" s="3">
        <v>5.7414097411291679E-2</v>
      </c>
      <c r="AF443" s="3">
        <v>2.7405061464419043E-2</v>
      </c>
      <c r="AG443" s="3">
        <v>2.0987655184677233E-2</v>
      </c>
      <c r="AH443" s="3">
        <v>3.4764921141179982E-2</v>
      </c>
      <c r="AI443" s="3">
        <v>3.1717970377156089E-2</v>
      </c>
      <c r="AJ443" s="3">
        <v>2.8180015672940522E-2</v>
      </c>
      <c r="AK443" s="3">
        <v>3.0674846625766899E-2</v>
      </c>
      <c r="AL443" s="3">
        <v>8.3185807468164393E-3</v>
      </c>
      <c r="AM443" s="3">
        <v>2.7460432730103131E-2</v>
      </c>
      <c r="AN443" s="3">
        <v>8.6583548009017148E-3</v>
      </c>
    </row>
    <row r="444" spans="1:40" x14ac:dyDescent="0.3">
      <c r="A444" s="101">
        <v>44951</v>
      </c>
      <c r="B444" s="3">
        <v>-1.1262473203493009E-2</v>
      </c>
      <c r="C444" s="3">
        <v>7.1143020938969409E-3</v>
      </c>
      <c r="D444" s="3">
        <v>-3.5922630043206963E-2</v>
      </c>
      <c r="E444" s="3">
        <v>-7.4542326677474171E-3</v>
      </c>
      <c r="F444" s="3">
        <v>-8.2860880941997388E-3</v>
      </c>
      <c r="G444" s="3">
        <v>-2.9200276091719716E-2</v>
      </c>
      <c r="H444" s="3">
        <v>1.284188633775208E-3</v>
      </c>
      <c r="I444" s="3">
        <v>1.4691943127962024E-2</v>
      </c>
      <c r="J444" s="3">
        <v>4.770534145940428E-3</v>
      </c>
      <c r="K444" s="3">
        <v>-3.5922630043206963E-2</v>
      </c>
      <c r="L444" s="3">
        <v>2.7706053481350201E-2</v>
      </c>
      <c r="M444" s="3">
        <v>1.443037974683545E-2</v>
      </c>
      <c r="N444" s="3">
        <v>-1.7643574668280471E-2</v>
      </c>
      <c r="O444" s="3">
        <v>7.1143020938969409E-3</v>
      </c>
      <c r="P444" s="3">
        <v>-2.811439787272902E-2</v>
      </c>
      <c r="Q444" s="3">
        <v>-1.2224938875305623E-3</v>
      </c>
      <c r="R444" s="3">
        <v>-2.1023274418604652E-2</v>
      </c>
      <c r="S444" s="3">
        <v>0</v>
      </c>
      <c r="T444" s="3">
        <v>-6.0494593226297997E-3</v>
      </c>
      <c r="U444" s="3">
        <v>-9.2702408950821305E-4</v>
      </c>
      <c r="V444" s="3">
        <v>-1.3089005235602095E-3</v>
      </c>
      <c r="W444" s="3">
        <v>2.4054868611672681E-2</v>
      </c>
      <c r="X444" s="3">
        <v>2.1582733812949641E-2</v>
      </c>
      <c r="Y444" s="3">
        <v>9.9925293318432942E-3</v>
      </c>
      <c r="Z444" s="3">
        <v>1.6643550624133162E-2</v>
      </c>
      <c r="AA444" s="3">
        <v>1.0407521866683755E-3</v>
      </c>
      <c r="AB444" s="3">
        <v>-1.3889379297388211E-3</v>
      </c>
      <c r="AC444" s="3">
        <v>-2.0181027149321223E-2</v>
      </c>
      <c r="AD444" s="3">
        <v>7.8814354698312217E-3</v>
      </c>
      <c r="AE444" s="3">
        <v>-3.9845359732810913E-2</v>
      </c>
      <c r="AF444" s="3">
        <v>-0.1781050648853334</v>
      </c>
      <c r="AG444" s="3">
        <v>-4.4336156563327921E-3</v>
      </c>
      <c r="AH444" s="3">
        <v>1.8774738421536791E-2</v>
      </c>
      <c r="AI444" s="3">
        <v>-2.2338916336618316E-4</v>
      </c>
      <c r="AJ444" s="3">
        <v>6.2509562362114447E-3</v>
      </c>
      <c r="AK444" s="3">
        <v>3.5714285714285747E-2</v>
      </c>
      <c r="AL444" s="3">
        <v>7.7844387266964195E-3</v>
      </c>
      <c r="AM444" s="3">
        <v>-2.3020674930511117E-2</v>
      </c>
      <c r="AN444" s="3">
        <v>1.0159037382910793E-2</v>
      </c>
    </row>
    <row r="445" spans="1:40" x14ac:dyDescent="0.3">
      <c r="A445" s="101">
        <v>44952</v>
      </c>
      <c r="B445" s="3">
        <v>-2.9762990632313805E-2</v>
      </c>
      <c r="C445" s="3">
        <v>5.0065304570643355E-3</v>
      </c>
      <c r="D445" s="3">
        <v>-2.200031706424296E-2</v>
      </c>
      <c r="E445" s="3">
        <v>1.1401577793696193E-2</v>
      </c>
      <c r="F445" s="3">
        <v>-1.0993843447669306E-2</v>
      </c>
      <c r="G445" s="3">
        <v>2.6581105322721878E-2</v>
      </c>
      <c r="H445" s="3">
        <v>-3.3860417271121459E-3</v>
      </c>
      <c r="I445" s="3">
        <v>-5.137832788416649E-3</v>
      </c>
      <c r="J445" s="3">
        <v>-2.1813449174535198E-3</v>
      </c>
      <c r="K445" s="3">
        <v>-2.200031706424296E-2</v>
      </c>
      <c r="L445" s="3">
        <v>-7.4542326677474171E-3</v>
      </c>
      <c r="M445" s="3">
        <v>-1.9964562016472009E-3</v>
      </c>
      <c r="N445" s="3">
        <v>-2.7027010224108514E-2</v>
      </c>
      <c r="O445" s="3">
        <v>5.0065304570643355E-3</v>
      </c>
      <c r="P445" s="3">
        <v>3.4913717452055128E-3</v>
      </c>
      <c r="Q445" s="3">
        <v>-4.2839657282741734E-3</v>
      </c>
      <c r="R445" s="3">
        <v>-7.0315280697743829E-3</v>
      </c>
      <c r="S445" s="3">
        <v>-1.4808147130663574E-2</v>
      </c>
      <c r="T445" s="3">
        <v>6.6396346986418702E-3</v>
      </c>
      <c r="U445" s="3">
        <v>-3.3714875736784736E-2</v>
      </c>
      <c r="V445" s="3">
        <v>3.9318479685452159E-3</v>
      </c>
      <c r="W445" s="3">
        <v>2.4888278776580085E-2</v>
      </c>
      <c r="X445" s="3">
        <v>1.1267661971831005E-2</v>
      </c>
      <c r="Y445" s="3">
        <v>-1.3191593576637713E-2</v>
      </c>
      <c r="Z445" s="3">
        <v>-1.3642564802182762E-2</v>
      </c>
      <c r="AA445" s="3">
        <v>-5.0942696873504979E-2</v>
      </c>
      <c r="AB445" s="3">
        <v>-2.1269138121529686E-2</v>
      </c>
      <c r="AC445" s="3">
        <v>-4.077762208110914E-2</v>
      </c>
      <c r="AD445" s="3">
        <v>-1.2824442842007311E-2</v>
      </c>
      <c r="AE445" s="3">
        <v>-0.1036852914899714</v>
      </c>
      <c r="AF445" s="3">
        <v>-7.775470632677574E-3</v>
      </c>
      <c r="AG445" s="3">
        <v>-9.7166797685554942E-3</v>
      </c>
      <c r="AH445" s="3">
        <v>-1.9398646472358519E-2</v>
      </c>
      <c r="AI445" s="3">
        <v>-2.9483936727013781E-2</v>
      </c>
      <c r="AJ445" s="3">
        <v>-2.5189431772113482E-2</v>
      </c>
      <c r="AK445" s="3">
        <v>-2.2988505747126457E-2</v>
      </c>
      <c r="AL445" s="3">
        <v>-3.7668885440446172E-2</v>
      </c>
      <c r="AM445" s="3">
        <v>-2.8662516008372038E-2</v>
      </c>
      <c r="AN445" s="3">
        <v>-2.1808900862763807E-2</v>
      </c>
    </row>
    <row r="446" spans="1:40" x14ac:dyDescent="0.3">
      <c r="A446" s="101">
        <v>44953</v>
      </c>
      <c r="B446" s="3">
        <v>6.4571109639502522E-2</v>
      </c>
      <c r="C446" s="3">
        <v>-1.1191624240325396E-2</v>
      </c>
      <c r="D446" s="3">
        <v>-3.1900582726028304E-2</v>
      </c>
      <c r="E446" s="3">
        <v>-2.135353063674884E-2</v>
      </c>
      <c r="F446" s="3">
        <v>4.4464206313917296E-4</v>
      </c>
      <c r="G446" s="3">
        <v>5.6114231910813122E-3</v>
      </c>
      <c r="H446" s="3">
        <v>-1.5217830003602819E-4</v>
      </c>
      <c r="I446" s="3">
        <v>-1.408403821990795E-3</v>
      </c>
      <c r="J446" s="3">
        <v>-9.0021914392185015E-3</v>
      </c>
      <c r="K446" s="3">
        <v>-3.1900582726028304E-2</v>
      </c>
      <c r="L446" s="3">
        <v>1.1401577793696193E-2</v>
      </c>
      <c r="M446" s="3">
        <v>-4.2510650537101763E-2</v>
      </c>
      <c r="N446" s="3">
        <v>1.508679446219316E-3</v>
      </c>
      <c r="O446" s="3">
        <v>-1.1191624240325396E-2</v>
      </c>
      <c r="P446" s="3">
        <v>2.8330018472663115E-2</v>
      </c>
      <c r="Q446" s="3">
        <v>-2.7043638598647817E-2</v>
      </c>
      <c r="R446" s="3">
        <v>-1.4258354066985645E-2</v>
      </c>
      <c r="S446" s="3">
        <v>0</v>
      </c>
      <c r="T446" s="3">
        <v>-5.4970683218371209E-4</v>
      </c>
      <c r="U446" s="3">
        <v>-4.8015364916772912E-3</v>
      </c>
      <c r="V446" s="3">
        <v>-2.7415143603133161E-2</v>
      </c>
      <c r="W446" s="3">
        <v>-1.3915490073464614E-2</v>
      </c>
      <c r="X446" s="3">
        <v>5.2924231034862552E-3</v>
      </c>
      <c r="Y446" s="3">
        <v>-1.3026790786618146E-2</v>
      </c>
      <c r="Z446" s="3">
        <v>-8.2987551867220594E-3</v>
      </c>
      <c r="AA446" s="3">
        <v>-2.2103035140387646E-2</v>
      </c>
      <c r="AB446" s="3">
        <v>-9.3557305307312814E-3</v>
      </c>
      <c r="AC446" s="3">
        <v>-7.4623414749584206E-3</v>
      </c>
      <c r="AD446" s="3">
        <v>9.8225933854417819E-3</v>
      </c>
      <c r="AE446" s="3">
        <v>-0.22285955663038559</v>
      </c>
      <c r="AF446" s="3">
        <v>-3.3049482470621581E-2</v>
      </c>
      <c r="AG446" s="3">
        <v>4.9060100125105678E-3</v>
      </c>
      <c r="AH446" s="3">
        <v>4.9455995554598224E-2</v>
      </c>
      <c r="AI446" s="3">
        <v>-3.9125872648991845E-3</v>
      </c>
      <c r="AJ446" s="3">
        <v>1.050288261946721E-3</v>
      </c>
      <c r="AK446" s="3">
        <v>5.8823529411764757E-3</v>
      </c>
      <c r="AL446" s="3">
        <v>-1.3914472404804345E-2</v>
      </c>
      <c r="AM446" s="3">
        <v>1.1948162114138431E-2</v>
      </c>
      <c r="AN446" s="3">
        <v>-1.3261958604276262E-2</v>
      </c>
    </row>
    <row r="447" spans="1:40" x14ac:dyDescent="0.3">
      <c r="A447" s="101">
        <v>44956</v>
      </c>
      <c r="B447" s="3">
        <v>-1.4230342757302629E-3</v>
      </c>
      <c r="C447" s="3">
        <v>-1.5665766247910436E-2</v>
      </c>
      <c r="D447" s="3">
        <v>2.5325573057452277E-3</v>
      </c>
      <c r="E447" s="3">
        <v>9.0817229493037437E-3</v>
      </c>
      <c r="F447" s="3">
        <v>2.2666666666666668E-2</v>
      </c>
      <c r="G447" s="3">
        <v>-1.7099099274977405E-2</v>
      </c>
      <c r="H447" s="3">
        <v>-3.9009896403744047E-3</v>
      </c>
      <c r="I447" s="3">
        <v>-3.29097320169249E-3</v>
      </c>
      <c r="J447" s="3">
        <v>8.4350188895171967E-3</v>
      </c>
      <c r="K447" s="3">
        <v>2.5325573057452277E-3</v>
      </c>
      <c r="L447" s="3">
        <v>-2.135353063674884E-2</v>
      </c>
      <c r="M447" s="3">
        <v>-1.6975763463677986E-2</v>
      </c>
      <c r="N447" s="3">
        <v>-1.2671688306099859E-2</v>
      </c>
      <c r="O447" s="3">
        <v>-1.5665766247910436E-2</v>
      </c>
      <c r="P447" s="3">
        <v>4.3499272909653247E-3</v>
      </c>
      <c r="Q447" s="3">
        <v>2.7795325331648767E-2</v>
      </c>
      <c r="R447" s="3">
        <v>1.941559034238248E-2</v>
      </c>
      <c r="S447" s="3">
        <v>0</v>
      </c>
      <c r="T447" s="3">
        <v>4.9496059569130446E-3</v>
      </c>
      <c r="U447" s="3">
        <v>2.026373431971696E-2</v>
      </c>
      <c r="V447" s="3">
        <v>2.5503355704697986E-2</v>
      </c>
      <c r="W447" s="3">
        <v>-2.3519596821979898E-2</v>
      </c>
      <c r="X447" s="3">
        <v>-2.3275145469659277E-2</v>
      </c>
      <c r="Y447" s="3">
        <v>-6.3576391092288499E-3</v>
      </c>
      <c r="Z447" s="3">
        <v>1.1157601115760122E-2</v>
      </c>
      <c r="AA447" s="3">
        <v>-4.136624250694898E-2</v>
      </c>
      <c r="AB447" s="3">
        <v>-1.7812292612540415E-2</v>
      </c>
      <c r="AC447" s="3">
        <v>-1.9790463333518266E-2</v>
      </c>
      <c r="AD447" s="3">
        <v>-2.1650504502554496E-2</v>
      </c>
      <c r="AE447" s="3">
        <v>8.4563418856157022E-2</v>
      </c>
      <c r="AF447" s="3">
        <v>-1.8675047289628006E-2</v>
      </c>
      <c r="AG447" s="3">
        <v>-2.4410089503661428E-2</v>
      </c>
      <c r="AH447" s="3">
        <v>-4.9952895133183413E-2</v>
      </c>
      <c r="AI447" s="3">
        <v>-3.0961185845376528E-2</v>
      </c>
      <c r="AJ447" s="3">
        <v>-3.3298272766970734E-2</v>
      </c>
      <c r="AK447" s="3">
        <v>-2.3391812865497099E-2</v>
      </c>
      <c r="AL447" s="3">
        <v>-8.1629755162240837E-3</v>
      </c>
      <c r="AM447" s="3">
        <v>-3.5549090649028087E-2</v>
      </c>
      <c r="AN447" s="3">
        <v>-1.575348855841208E-2</v>
      </c>
    </row>
    <row r="448" spans="1:40" x14ac:dyDescent="0.3">
      <c r="A448" s="101">
        <v>44957</v>
      </c>
      <c r="B448" s="3">
        <v>3.0282368850254151E-3</v>
      </c>
      <c r="C448" s="3">
        <v>-1.4022239131063466E-2</v>
      </c>
      <c r="D448" s="3">
        <v>-1.0776149451760637E-3</v>
      </c>
      <c r="E448" s="3">
        <v>-7.2467582471360849E-3</v>
      </c>
      <c r="F448" s="3">
        <v>8.2572794437201225E-3</v>
      </c>
      <c r="G448" s="3">
        <v>-3.2846738860176701E-2</v>
      </c>
      <c r="H448" s="3">
        <v>-2.4347953177524342E-3</v>
      </c>
      <c r="I448" s="3">
        <v>2.3584432849790755E-3</v>
      </c>
      <c r="J448" s="3">
        <v>-3.4615926888328444E-2</v>
      </c>
      <c r="K448" s="3">
        <v>-1.0776149451760637E-3</v>
      </c>
      <c r="L448" s="3">
        <v>9.0817229493037437E-3</v>
      </c>
      <c r="M448" s="3">
        <v>-2.8427179288713657E-2</v>
      </c>
      <c r="N448" s="3">
        <v>1.6155116068122612E-2</v>
      </c>
      <c r="O448" s="3">
        <v>-1.4022239131063466E-2</v>
      </c>
      <c r="P448" s="3">
        <v>1.7805533310609561E-2</v>
      </c>
      <c r="Q448" s="3">
        <v>9.8340503995082967E-3</v>
      </c>
      <c r="R448" s="3">
        <v>-9.5248069798151857E-5</v>
      </c>
      <c r="S448" s="3">
        <v>0</v>
      </c>
      <c r="T448" s="3">
        <v>-3.8307004742795217E-3</v>
      </c>
      <c r="U448" s="3">
        <v>2.049196123095778E-3</v>
      </c>
      <c r="V448" s="3">
        <v>-1.4397905759162303E-2</v>
      </c>
      <c r="W448" s="3">
        <v>6.5174618420991313E-3</v>
      </c>
      <c r="X448" s="3">
        <v>2.2695602836879532E-3</v>
      </c>
      <c r="Y448" s="3">
        <v>5.9114405826557002E-3</v>
      </c>
      <c r="Z448" s="3">
        <v>1.5172413793103492E-2</v>
      </c>
      <c r="AA448" s="3">
        <v>-6.9979175647090733E-2</v>
      </c>
      <c r="AB448" s="3">
        <v>-2.5864210805657956E-2</v>
      </c>
      <c r="AC448" s="3">
        <v>-1.7963207462755326E-2</v>
      </c>
      <c r="AD448" s="3">
        <v>-1.3149404746670774E-2</v>
      </c>
      <c r="AE448" s="3">
        <v>-2.967945372075546E-2</v>
      </c>
      <c r="AF448" s="3">
        <v>1.9748600816820543E-2</v>
      </c>
      <c r="AG448" s="3">
        <v>-1.1676355296080071E-2</v>
      </c>
      <c r="AH448" s="3">
        <v>-2.6785610354559307E-2</v>
      </c>
      <c r="AI448" s="3">
        <v>-2.8850699910179203E-2</v>
      </c>
      <c r="AJ448" s="3">
        <v>-9.8414289622382051E-3</v>
      </c>
      <c r="AK448" s="3">
        <v>-4.1916167664670566E-2</v>
      </c>
      <c r="AL448" s="3">
        <v>-1.4045300949991081E-2</v>
      </c>
      <c r="AM448" s="3">
        <v>-2.6286538419013433E-2</v>
      </c>
      <c r="AN448" s="3">
        <v>-3.5756248797624721E-2</v>
      </c>
    </row>
    <row r="449" spans="1:40" x14ac:dyDescent="0.3">
      <c r="A449" s="101">
        <v>44958</v>
      </c>
      <c r="B449" s="3">
        <v>9.2345704890486515E-3</v>
      </c>
      <c r="C449" s="3">
        <v>-2.481695277695431E-2</v>
      </c>
      <c r="D449" s="3">
        <v>-6.1432926198729226E-4</v>
      </c>
      <c r="E449" s="3">
        <v>-9.4187445127891251E-3</v>
      </c>
      <c r="F449" s="3">
        <v>-9.9137931034482766E-3</v>
      </c>
      <c r="G449" s="3">
        <v>-5.6226431865828035E-2</v>
      </c>
      <c r="H449" s="3">
        <v>5.6273495849413916E-3</v>
      </c>
      <c r="I449" s="3">
        <v>-1.8824000000000082E-3</v>
      </c>
      <c r="J449" s="3">
        <v>4.9321617532265523E-3</v>
      </c>
      <c r="K449" s="3">
        <v>-6.1432926198729226E-4</v>
      </c>
      <c r="L449" s="3">
        <v>-7.2467582471360849E-3</v>
      </c>
      <c r="M449" s="3">
        <v>-1.230519551544983E-2</v>
      </c>
      <c r="N449" s="3">
        <v>-1.5456632967173353E-2</v>
      </c>
      <c r="O449" s="3">
        <v>-2.481695277695431E-2</v>
      </c>
      <c r="P449" s="3">
        <v>-1.4183924349881849E-3</v>
      </c>
      <c r="Q449" s="3">
        <v>-9.1296409007912364E-3</v>
      </c>
      <c r="R449" s="3">
        <v>0</v>
      </c>
      <c r="S449" s="3">
        <v>-2.4430587692307968E-3</v>
      </c>
      <c r="T449" s="3">
        <v>3.845431169283505E-3</v>
      </c>
      <c r="U449" s="3">
        <v>-5.5057259713700932E-3</v>
      </c>
      <c r="V449" s="3">
        <v>9.2961487383798145E-3</v>
      </c>
      <c r="W449" s="3">
        <v>-1.2950459548110428E-2</v>
      </c>
      <c r="X449" s="3">
        <v>0</v>
      </c>
      <c r="Y449" s="3">
        <v>-5.6000899170358916E-3</v>
      </c>
      <c r="Z449" s="3">
        <v>-1.4945652173913086E-2</v>
      </c>
      <c r="AA449" s="3">
        <v>4.8073454281899561E-2</v>
      </c>
      <c r="AB449" s="3">
        <v>1.6680362614263557E-2</v>
      </c>
      <c r="AC449" s="3">
        <v>4.6107377870104035E-2</v>
      </c>
      <c r="AD449" s="3">
        <v>-6.4999012928315418E-3</v>
      </c>
      <c r="AE449" s="3">
        <v>0.14152943204950463</v>
      </c>
      <c r="AF449" s="3">
        <v>2.2887291038658948E-2</v>
      </c>
      <c r="AG449" s="3">
        <v>-9.7047253289144972E-3</v>
      </c>
      <c r="AH449" s="3">
        <v>-4.8929835141850869E-2</v>
      </c>
      <c r="AI449" s="3">
        <v>-1.211234912188989E-2</v>
      </c>
      <c r="AJ449" s="3">
        <v>2.4846465085416386E-3</v>
      </c>
      <c r="AK449" s="3">
        <v>-1.2500000000000011E-2</v>
      </c>
      <c r="AL449" s="3">
        <v>3.9883160558711252E-2</v>
      </c>
      <c r="AM449" s="3">
        <v>6.1421674611644925E-2</v>
      </c>
      <c r="AN449" s="3">
        <v>4.5095225202351021E-2</v>
      </c>
    </row>
    <row r="450" spans="1:40" x14ac:dyDescent="0.3">
      <c r="A450" s="101">
        <v>44959</v>
      </c>
      <c r="B450" s="3">
        <v>-1.090978650409806E-2</v>
      </c>
      <c r="C450" s="3">
        <v>-1.2177248172149241E-2</v>
      </c>
      <c r="D450" s="3">
        <v>-8.5057961464227757E-4</v>
      </c>
      <c r="E450" s="3">
        <v>-3.9581414595333331E-5</v>
      </c>
      <c r="F450" s="3">
        <v>-3.3957335655202439E-2</v>
      </c>
      <c r="G450" s="3">
        <v>1.532718939672466E-2</v>
      </c>
      <c r="H450" s="3">
        <v>-3.0462668331084633E-4</v>
      </c>
      <c r="I450" s="3">
        <v>9.4299863003296711E-4</v>
      </c>
      <c r="J450" s="3">
        <v>1.1937199965609433E-3</v>
      </c>
      <c r="K450" s="3">
        <v>-8.5057961464227757E-4</v>
      </c>
      <c r="L450" s="3">
        <v>-9.4187445127891251E-3</v>
      </c>
      <c r="M450" s="3">
        <v>4.8449613744452211E-2</v>
      </c>
      <c r="N450" s="3">
        <v>-8.881295336132633E-3</v>
      </c>
      <c r="O450" s="3">
        <v>-1.2177248172149241E-2</v>
      </c>
      <c r="P450" s="3">
        <v>-2.3674714788128179E-3</v>
      </c>
      <c r="Q450" s="3">
        <v>-3.6240786240786242E-2</v>
      </c>
      <c r="R450" s="3">
        <v>-5.4571457142857112E-2</v>
      </c>
      <c r="S450" s="3">
        <v>0</v>
      </c>
      <c r="T450" s="3">
        <v>-5.6549069682597089E-3</v>
      </c>
      <c r="U450" s="3">
        <v>2.0563049342564865E-2</v>
      </c>
      <c r="V450" s="3">
        <v>-9.2105263157894728E-3</v>
      </c>
      <c r="W450" s="3">
        <v>4.563629506155382E-3</v>
      </c>
      <c r="X450" s="3">
        <v>1.6982676649721088E-2</v>
      </c>
      <c r="Y450" s="3">
        <v>6.9526523402259283E-3</v>
      </c>
      <c r="Z450" s="3">
        <v>2.2068965517241398E-2</v>
      </c>
      <c r="AA450" s="3">
        <v>1.1364030586459734E-2</v>
      </c>
      <c r="AB450" s="3">
        <v>1.296523352832943E-2</v>
      </c>
      <c r="AC450" s="3">
        <v>1.3872783799437811E-2</v>
      </c>
      <c r="AD450" s="3">
        <v>1.5701635026330912E-2</v>
      </c>
      <c r="AE450" s="3">
        <v>3.3382641004471927E-2</v>
      </c>
      <c r="AF450" s="3">
        <v>1.7556019892532564E-2</v>
      </c>
      <c r="AG450" s="3">
        <v>1.5338773555124433E-2</v>
      </c>
      <c r="AH450" s="3">
        <v>-1.9292567201670927E-2</v>
      </c>
      <c r="AI450" s="3">
        <v>4.7220133874192162E-3</v>
      </c>
      <c r="AJ450" s="3">
        <v>1.1883212273233423E-2</v>
      </c>
      <c r="AK450" s="3">
        <v>0</v>
      </c>
      <c r="AL450" s="3">
        <v>1.3913924870538425E-2</v>
      </c>
      <c r="AM450" s="3">
        <v>1.9741789143763008E-3</v>
      </c>
      <c r="AN450" s="3">
        <v>1.6057928671653614E-2</v>
      </c>
    </row>
    <row r="451" spans="1:40" x14ac:dyDescent="0.3">
      <c r="A451" s="101">
        <v>44960</v>
      </c>
      <c r="B451" s="3">
        <v>2.4550841280155326E-2</v>
      </c>
      <c r="C451" s="3">
        <v>1.5058369731239356E-2</v>
      </c>
      <c r="D451" s="3">
        <v>6.5102308489365746E-4</v>
      </c>
      <c r="E451" s="3">
        <v>-7.0523849182702889E-3</v>
      </c>
      <c r="F451" s="3">
        <v>-2.5687246507435781E-2</v>
      </c>
      <c r="G451" s="3">
        <v>1.1377002186221039E-3</v>
      </c>
      <c r="H451" s="3">
        <v>-2.6497348609051891E-4</v>
      </c>
      <c r="I451" s="3">
        <v>-8.0075836081017048E-3</v>
      </c>
      <c r="J451" s="3">
        <v>1.7090700812111795E-2</v>
      </c>
      <c r="K451" s="3">
        <v>6.5102308489365746E-4</v>
      </c>
      <c r="L451" s="3">
        <v>-3.9581414595333331E-5</v>
      </c>
      <c r="M451" s="3">
        <v>-3.1951387165339067E-2</v>
      </c>
      <c r="N451" s="3">
        <v>1.1042668056408361E-2</v>
      </c>
      <c r="O451" s="3">
        <v>1.5058369731239356E-2</v>
      </c>
      <c r="P451" s="3">
        <v>1.3289036544850552E-2</v>
      </c>
      <c r="Q451" s="3">
        <v>-3.6328871892925434E-2</v>
      </c>
      <c r="R451" s="3">
        <v>-8.02860304307252E-2</v>
      </c>
      <c r="S451" s="3">
        <v>0</v>
      </c>
      <c r="T451" s="3">
        <v>-1.4492699119159748E-2</v>
      </c>
      <c r="U451" s="3">
        <v>-4.8357023327201994E-2</v>
      </c>
      <c r="V451" s="3">
        <v>3.3200531208499334E-2</v>
      </c>
      <c r="W451" s="3">
        <v>-9.6535968573002225E-3</v>
      </c>
      <c r="X451" s="3">
        <v>-2.5883662677428323E-2</v>
      </c>
      <c r="Y451" s="3">
        <v>-9.7355795106597795E-3</v>
      </c>
      <c r="Z451" s="3">
        <v>-2.6990553306343403E-3</v>
      </c>
      <c r="AA451" s="3">
        <v>7.4777468450353074E-2</v>
      </c>
      <c r="AB451" s="3">
        <v>1.6378614382608007E-3</v>
      </c>
      <c r="AC451" s="3">
        <v>2.6130891792681514E-3</v>
      </c>
      <c r="AD451" s="3">
        <v>-1.5780987542010596E-2</v>
      </c>
      <c r="AE451" s="3">
        <v>-5.7303917646993959E-4</v>
      </c>
      <c r="AF451" s="3">
        <v>3.5521009206642001E-2</v>
      </c>
      <c r="AG451" s="3">
        <v>-8.3928241712126223E-3</v>
      </c>
      <c r="AH451" s="3">
        <v>-1.6393391880266568E-2</v>
      </c>
      <c r="AI451" s="3">
        <v>-2.8364070811522639E-2</v>
      </c>
      <c r="AJ451" s="3">
        <v>-1.6210507849747934E-2</v>
      </c>
      <c r="AK451" s="3">
        <v>-6.329113924050638E-3</v>
      </c>
      <c r="AL451" s="3">
        <v>2.7617185407193363E-3</v>
      </c>
      <c r="AM451" s="3">
        <v>9.5189383680329715E-3</v>
      </c>
      <c r="AN451" s="3">
        <v>-1.466260500183815E-3</v>
      </c>
    </row>
    <row r="452" spans="1:40" x14ac:dyDescent="0.3">
      <c r="A452" s="101">
        <v>44964</v>
      </c>
      <c r="B452" s="3">
        <v>-4.8619575870451189E-2</v>
      </c>
      <c r="C452" s="3">
        <v>1.0835703932716888E-2</v>
      </c>
      <c r="D452" s="3">
        <v>5.0760946182284202E-4</v>
      </c>
      <c r="E452" s="3">
        <v>3.6629128113330293E-2</v>
      </c>
      <c r="F452" s="3">
        <v>2.0814061054579093E-2</v>
      </c>
      <c r="G452" s="3">
        <v>1.4029685130729651E-2</v>
      </c>
      <c r="H452" s="3">
        <v>3.8365077840025988E-3</v>
      </c>
      <c r="I452" s="3">
        <v>-9.021747816797274E-3</v>
      </c>
      <c r="J452" s="3">
        <v>2.357683632547496E-2</v>
      </c>
      <c r="K452" s="3">
        <v>5.0760946182284202E-4</v>
      </c>
      <c r="L452" s="3">
        <v>-7.0523849182702889E-3</v>
      </c>
      <c r="M452" s="3">
        <v>3.6279378068739786E-2</v>
      </c>
      <c r="N452" s="3">
        <v>1.6830841991875765E-2</v>
      </c>
      <c r="O452" s="3">
        <v>1.0835703932716888E-2</v>
      </c>
      <c r="P452" s="3">
        <v>0</v>
      </c>
      <c r="Q452" s="3">
        <v>-4.1666666666666664E-2</v>
      </c>
      <c r="R452" s="3">
        <v>-1.9715256745391384E-2</v>
      </c>
      <c r="S452" s="3">
        <v>2.067822242030834E-2</v>
      </c>
      <c r="T452" s="3">
        <v>-1.7125874588126009E-2</v>
      </c>
      <c r="U452" s="3">
        <v>1.4495097247716637E-2</v>
      </c>
      <c r="V452" s="3">
        <v>5.1413881748071976E-3</v>
      </c>
      <c r="W452" s="3">
        <v>2.2934079502988322E-3</v>
      </c>
      <c r="X452" s="3">
        <v>3.0857200000000012E-2</v>
      </c>
      <c r="Y452" s="3">
        <v>3.0679333854126715E-3</v>
      </c>
      <c r="Z452" s="3">
        <v>9.4722598105548422E-3</v>
      </c>
      <c r="AA452" s="3">
        <v>-6.9621415161137453E-3</v>
      </c>
      <c r="AB452" s="3">
        <v>-1.1627931027281163E-2</v>
      </c>
      <c r="AC452" s="3">
        <v>-3.5729488867599371E-2</v>
      </c>
      <c r="AD452" s="3">
        <v>-2.4214620111802365E-2</v>
      </c>
      <c r="AE452" s="3">
        <v>-2.0855758767689914E-2</v>
      </c>
      <c r="AF452" s="3">
        <v>5.3903807520493195E-2</v>
      </c>
      <c r="AG452" s="3">
        <v>-1.6081211006399174E-2</v>
      </c>
      <c r="AH452" s="3">
        <v>-8.4444485903497304E-2</v>
      </c>
      <c r="AI452" s="3">
        <v>-3.6914468590496304E-2</v>
      </c>
      <c r="AJ452" s="3">
        <v>-3.1709868578163727E-2</v>
      </c>
      <c r="AK452" s="3">
        <v>-1.9108280254777087E-2</v>
      </c>
      <c r="AL452" s="3">
        <v>-5.359934820265152E-3</v>
      </c>
      <c r="AM452" s="3">
        <v>-2.098752719979426E-2</v>
      </c>
      <c r="AN452" s="3">
        <v>-1.5765555094246562E-2</v>
      </c>
    </row>
    <row r="453" spans="1:40" x14ac:dyDescent="0.3">
      <c r="A453" s="101">
        <v>44965</v>
      </c>
      <c r="B453" s="3">
        <v>2.7194714289416139E-2</v>
      </c>
      <c r="C453" s="3">
        <v>-3.2374790571289436E-3</v>
      </c>
      <c r="D453" s="3">
        <v>-2.2080766758099052E-3</v>
      </c>
      <c r="E453" s="3">
        <v>5.5427117433964716E-3</v>
      </c>
      <c r="F453" s="3">
        <v>6.3434526506570008E-3</v>
      </c>
      <c r="G453" s="3">
        <v>2.8016034395414731E-2</v>
      </c>
      <c r="H453" s="3">
        <v>8.0529381672964832E-4</v>
      </c>
      <c r="I453" s="3">
        <v>4.7906082994452474E-4</v>
      </c>
      <c r="J453" s="3">
        <v>-9.7990347607558887E-3</v>
      </c>
      <c r="K453" s="3">
        <v>-2.2080766758099052E-3</v>
      </c>
      <c r="L453" s="3">
        <v>3.6629128113330293E-2</v>
      </c>
      <c r="M453" s="3">
        <v>1.5267122123341909E-2</v>
      </c>
      <c r="N453" s="3">
        <v>1.6728305745231483E-2</v>
      </c>
      <c r="O453" s="3">
        <v>-3.2374790571289436E-3</v>
      </c>
      <c r="P453" s="3">
        <v>1.7798594847775129E-2</v>
      </c>
      <c r="Q453" s="3">
        <v>1.3802622498274672E-2</v>
      </c>
      <c r="R453" s="3">
        <v>5.5865921787709499E-3</v>
      </c>
      <c r="S453" s="3">
        <v>-3.5598817053372783E-2</v>
      </c>
      <c r="T453" s="3">
        <v>1.0037935796173039E-2</v>
      </c>
      <c r="U453" s="3">
        <v>-2.5204687346208152E-2</v>
      </c>
      <c r="V453" s="3">
        <v>3.8363171355498722E-3</v>
      </c>
      <c r="W453" s="3">
        <v>3.318089835353976E-2</v>
      </c>
      <c r="X453" s="3">
        <v>-2.9933534926079006E-2</v>
      </c>
      <c r="Y453" s="3">
        <v>-8.4110036951829201E-3</v>
      </c>
      <c r="Z453" s="3">
        <v>-1.7426273458445028E-2</v>
      </c>
      <c r="AA453" s="3">
        <v>1.7955294156992953E-2</v>
      </c>
      <c r="AB453" s="3">
        <v>2.0588258316136348E-2</v>
      </c>
      <c r="AC453" s="3">
        <v>2.2703798154607224E-2</v>
      </c>
      <c r="AD453" s="3">
        <v>-7.0422729493568878E-3</v>
      </c>
      <c r="AE453" s="3">
        <v>-2.9058711354805689E-2</v>
      </c>
      <c r="AF453" s="3">
        <v>9.2374713116711429E-2</v>
      </c>
      <c r="AG453" s="3">
        <v>-1.2473161290322589E-2</v>
      </c>
      <c r="AH453" s="3">
        <v>3.337376473197854E-2</v>
      </c>
      <c r="AI453" s="3">
        <v>8.3708173430757059E-3</v>
      </c>
      <c r="AJ453" s="3">
        <v>2.6168353779159641E-2</v>
      </c>
      <c r="AK453" s="3">
        <v>5.844155844155835E-2</v>
      </c>
      <c r="AL453" s="3">
        <v>4.3489953219023308E-3</v>
      </c>
      <c r="AM453" s="3">
        <v>-1.6078063278740253E-2</v>
      </c>
      <c r="AN453" s="3">
        <v>6.0241826365163937E-3</v>
      </c>
    </row>
    <row r="454" spans="1:40" x14ac:dyDescent="0.3">
      <c r="A454" s="101">
        <v>44966</v>
      </c>
      <c r="B454" s="3">
        <v>3.7668886366754244E-2</v>
      </c>
      <c r="C454" s="3">
        <v>-1.0104617167445132E-2</v>
      </c>
      <c r="D454" s="3">
        <v>5.0847467625802936E-4</v>
      </c>
      <c r="E454" s="3">
        <v>-1.2287484536928669E-2</v>
      </c>
      <c r="F454" s="3">
        <v>-2.4763619990995047E-2</v>
      </c>
      <c r="G454" s="3">
        <v>1.9537977852877777E-2</v>
      </c>
      <c r="H454" s="3">
        <v>8.442185866593333E-4</v>
      </c>
      <c r="I454" s="3">
        <v>-1.67623571246341E-2</v>
      </c>
      <c r="J454" s="3">
        <v>-6.4240538251131979E-4</v>
      </c>
      <c r="K454" s="3">
        <v>5.0847467625802936E-4</v>
      </c>
      <c r="L454" s="3">
        <v>5.5427117433964716E-3</v>
      </c>
      <c r="M454" s="3">
        <v>3.137150635208702E-2</v>
      </c>
      <c r="N454" s="3">
        <v>-2.0609672135183416E-2</v>
      </c>
      <c r="O454" s="3">
        <v>-1.0104617167445132E-2</v>
      </c>
      <c r="P454" s="3">
        <v>-4.6023930050616833E-4</v>
      </c>
      <c r="Q454" s="3">
        <v>-5.1055139550714772E-2</v>
      </c>
      <c r="R454" s="3">
        <v>2.0000033333333375E-2</v>
      </c>
      <c r="S454" s="3">
        <v>0</v>
      </c>
      <c r="T454" s="3">
        <v>3.000187399205359E-3</v>
      </c>
      <c r="U454" s="3">
        <v>3.0961741914332246E-2</v>
      </c>
      <c r="V454" s="3">
        <v>-1.1464968152866241E-2</v>
      </c>
      <c r="W454" s="3">
        <v>-1.3842761626811017E-2</v>
      </c>
      <c r="X454" s="3">
        <v>9.1428571428571505E-3</v>
      </c>
      <c r="Y454" s="3">
        <v>-1.1777028185504138E-2</v>
      </c>
      <c r="Z454" s="3">
        <v>9.5497953615280053E-3</v>
      </c>
      <c r="AA454" s="3">
        <v>-4.614210388163946E-2</v>
      </c>
      <c r="AB454" s="3">
        <v>-1.9812746647332393E-3</v>
      </c>
      <c r="AC454" s="3">
        <v>-2.4698476648414482E-2</v>
      </c>
      <c r="AD454" s="3">
        <v>-2.6342430797283822E-2</v>
      </c>
      <c r="AE454" s="3">
        <v>-3.6185421915661702E-2</v>
      </c>
      <c r="AF454" s="3">
        <v>5.6751574269233978E-3</v>
      </c>
      <c r="AG454" s="3">
        <v>4.355400886559953E-4</v>
      </c>
      <c r="AH454" s="3">
        <v>-4.8737482748650418E-2</v>
      </c>
      <c r="AI454" s="3">
        <v>-3.6875189607925102E-2</v>
      </c>
      <c r="AJ454" s="3">
        <v>-1.260317948688533E-2</v>
      </c>
      <c r="AK454" s="3">
        <v>-1.8404907975460003E-2</v>
      </c>
      <c r="AL454" s="3">
        <v>-3.2912139490549647E-3</v>
      </c>
      <c r="AM454" s="3">
        <v>-3.1471178673976211E-2</v>
      </c>
      <c r="AN454" s="3">
        <v>-2.7319549914682495E-2</v>
      </c>
    </row>
    <row r="455" spans="1:40" x14ac:dyDescent="0.3">
      <c r="A455" s="101">
        <v>44967</v>
      </c>
      <c r="B455" s="3">
        <v>-2.6883583846161456E-2</v>
      </c>
      <c r="C455" s="3">
        <v>1.3909281929167443E-2</v>
      </c>
      <c r="D455" s="3">
        <v>4.2922341918191243E-5</v>
      </c>
      <c r="E455" s="3">
        <v>1.1625375436362373E-3</v>
      </c>
      <c r="F455" s="3">
        <v>3.647276084949215E-2</v>
      </c>
      <c r="G455" s="3">
        <v>-4.009540683550937E-2</v>
      </c>
      <c r="H455" s="3">
        <v>-8.5998121880089603E-4</v>
      </c>
      <c r="I455" s="3">
        <v>-3.9454552388964684E-2</v>
      </c>
      <c r="J455" s="3">
        <v>3.0863942290757572E-3</v>
      </c>
      <c r="K455" s="3">
        <v>4.2922341918191243E-5</v>
      </c>
      <c r="L455" s="3">
        <v>-1.2287484536928669E-2</v>
      </c>
      <c r="M455" s="3">
        <v>-2.2624384681356996E-2</v>
      </c>
      <c r="N455" s="3">
        <v>6.1892574038772703E-3</v>
      </c>
      <c r="O455" s="3">
        <v>1.3909281929167443E-2</v>
      </c>
      <c r="P455" s="3">
        <v>-2.7623850258925537E-3</v>
      </c>
      <c r="Q455" s="3">
        <v>1.1477761836441894E-2</v>
      </c>
      <c r="R455" s="3">
        <v>-1.5468474440028076E-2</v>
      </c>
      <c r="S455" s="3">
        <v>0</v>
      </c>
      <c r="T455" s="3">
        <v>-1.6638698200086021E-2</v>
      </c>
      <c r="U455" s="3">
        <v>4.792811654722524E-4</v>
      </c>
      <c r="V455" s="3">
        <v>1.6752577319587628E-2</v>
      </c>
      <c r="W455" s="3">
        <v>3.0881692475133809E-3</v>
      </c>
      <c r="X455" s="3">
        <v>7.3613250283125729E-3</v>
      </c>
      <c r="Y455" s="3">
        <v>1.2272086172433239E-2</v>
      </c>
      <c r="Z455" s="3">
        <v>3.5135135135135102E-2</v>
      </c>
      <c r="AA455" s="3">
        <v>-1.191517819189705E-3</v>
      </c>
      <c r="AB455" s="3">
        <v>-1.8408195632732997E-2</v>
      </c>
      <c r="AC455" s="3">
        <v>-1.4337108861717891E-2</v>
      </c>
      <c r="AD455" s="3">
        <v>-2.8442557427484371E-2</v>
      </c>
      <c r="AE455" s="3">
        <v>-4.9667564328002567E-2</v>
      </c>
      <c r="AF455" s="3">
        <v>-3.8656861179422124E-2</v>
      </c>
      <c r="AG455" s="3">
        <v>-4.3534176906147408E-3</v>
      </c>
      <c r="AH455" s="3">
        <v>-0.10370370462871614</v>
      </c>
      <c r="AI455" s="3">
        <v>-7.3761624339531942E-2</v>
      </c>
      <c r="AJ455" s="3">
        <v>-1.8591220583166354E-2</v>
      </c>
      <c r="AK455" s="3">
        <v>-1.8750000000000017E-2</v>
      </c>
      <c r="AL455" s="3">
        <v>-1.6276059626202863E-2</v>
      </c>
      <c r="AM455" s="3">
        <v>-1.7224973182886877E-2</v>
      </c>
      <c r="AN455" s="3">
        <v>-1.5263799262763191E-2</v>
      </c>
    </row>
    <row r="456" spans="1:40" x14ac:dyDescent="0.3">
      <c r="A456" s="101">
        <v>44970</v>
      </c>
      <c r="B456" s="3">
        <v>3.4312837869098063E-2</v>
      </c>
      <c r="C456" s="3">
        <v>1.8267099791076324E-2</v>
      </c>
      <c r="D456" s="3">
        <v>-1.5818109173564132E-3</v>
      </c>
      <c r="E456" s="3">
        <v>5.264681300326402E-3</v>
      </c>
      <c r="F456" s="3">
        <v>-7.1269487750556795E-3</v>
      </c>
      <c r="G456" s="3">
        <v>-6.8547254464456395E-4</v>
      </c>
      <c r="H456" s="3">
        <v>-2.3348305269198697E-3</v>
      </c>
      <c r="I456" s="3">
        <v>-2.5862070276981328E-2</v>
      </c>
      <c r="J456" s="3">
        <v>1.8846195775256046E-2</v>
      </c>
      <c r="K456" s="3">
        <v>-1.5818109173564132E-3</v>
      </c>
      <c r="L456" s="3">
        <v>1.1625375436362373E-3</v>
      </c>
      <c r="M456" s="3">
        <v>-7.7160234640940382E-3</v>
      </c>
      <c r="N456" s="3">
        <v>-1.0017565641013235E-2</v>
      </c>
      <c r="O456" s="3">
        <v>1.8267099791076324E-2</v>
      </c>
      <c r="P456" s="3">
        <v>-6.0018005540166909E-3</v>
      </c>
      <c r="Q456" s="3">
        <v>2.0567375886524821E-2</v>
      </c>
      <c r="R456" s="3">
        <v>1.7924353327871841E-2</v>
      </c>
      <c r="S456" s="3">
        <v>9.6198886123603274E-3</v>
      </c>
      <c r="T456" s="3">
        <v>1.9391654729720723E-2</v>
      </c>
      <c r="U456" s="3">
        <v>-1.9160625592197734E-3</v>
      </c>
      <c r="V456" s="3">
        <v>-1.0139416983523447E-2</v>
      </c>
      <c r="W456" s="3">
        <v>-2.7987834716016553E-4</v>
      </c>
      <c r="X456" s="3">
        <v>2.3889768190569503E-2</v>
      </c>
      <c r="Y456" s="3">
        <v>1.0512193633753994E-3</v>
      </c>
      <c r="Z456" s="3">
        <v>1.5665796344647532E-2</v>
      </c>
      <c r="AA456" s="3">
        <v>-4.0212805645384021E-2</v>
      </c>
      <c r="AB456" s="3">
        <v>-2.3717506302624185E-2</v>
      </c>
      <c r="AC456" s="3">
        <v>-6.2931106297421893E-2</v>
      </c>
      <c r="AD456" s="3">
        <v>-4.7483109666572453E-2</v>
      </c>
      <c r="AE456" s="3">
        <v>-7.4485621399176985E-2</v>
      </c>
      <c r="AF456" s="3">
        <v>-1.6143377880600478E-2</v>
      </c>
      <c r="AG456" s="3">
        <v>-2.9296019707213752E-2</v>
      </c>
      <c r="AH456" s="3">
        <v>-6.6115663330106503E-2</v>
      </c>
      <c r="AI456" s="3">
        <v>-7.2974819797505641E-2</v>
      </c>
      <c r="AJ456" s="3">
        <v>-5.1379708755717041E-2</v>
      </c>
      <c r="AK456" s="3">
        <v>-1.2738853503184724E-2</v>
      </c>
      <c r="AL456" s="3">
        <v>-4.2820228704692417E-2</v>
      </c>
      <c r="AM456" s="3">
        <v>-3.1708734833173595E-2</v>
      </c>
      <c r="AN456" s="3">
        <v>-5.6220450715645354E-2</v>
      </c>
    </row>
    <row r="457" spans="1:40" x14ac:dyDescent="0.3">
      <c r="A457" s="101">
        <v>44971</v>
      </c>
      <c r="B457" s="3">
        <v>1.1908779851862094E-2</v>
      </c>
      <c r="C457" s="3">
        <v>1.8010454038037818E-2</v>
      </c>
      <c r="D457" s="3">
        <v>-1.5844041466317547E-3</v>
      </c>
      <c r="E457" s="3">
        <v>-6.1997373807800042E-3</v>
      </c>
      <c r="F457" s="3">
        <v>2.1085688649618663E-2</v>
      </c>
      <c r="G457" s="3">
        <v>-3.2753151692385206E-2</v>
      </c>
      <c r="H457" s="3">
        <v>3.8476031812142816E-3</v>
      </c>
      <c r="I457" s="3">
        <v>4.0083344095957561E-2</v>
      </c>
      <c r="J457" s="3">
        <v>2.1014095769824791E-2</v>
      </c>
      <c r="K457" s="3">
        <v>-1.5844041466317547E-3</v>
      </c>
      <c r="L457" s="3">
        <v>5.264681300326402E-3</v>
      </c>
      <c r="M457" s="3">
        <v>-3.1104223374586664E-2</v>
      </c>
      <c r="N457" s="3">
        <v>-9.0538342249659211E-3</v>
      </c>
      <c r="O457" s="3">
        <v>1.8010454038037818E-2</v>
      </c>
      <c r="P457" s="3">
        <v>4.6445887299309888E-3</v>
      </c>
      <c r="Q457" s="3">
        <v>6.2543432939541352E-3</v>
      </c>
      <c r="R457" s="3">
        <v>-2.1739130434782608E-2</v>
      </c>
      <c r="S457" s="3">
        <v>0</v>
      </c>
      <c r="T457" s="3">
        <v>1.8653487852545589E-4</v>
      </c>
      <c r="U457" s="3">
        <v>2.5595953466515768E-2</v>
      </c>
      <c r="V457" s="3">
        <v>-1.2804097311139564E-3</v>
      </c>
      <c r="W457" s="3">
        <v>-2.1276709274392673E-2</v>
      </c>
      <c r="X457" s="3">
        <v>-2.2234449629426289E-2</v>
      </c>
      <c r="Y457" s="3">
        <v>-2.5691374489686836E-2</v>
      </c>
      <c r="Z457" s="3">
        <v>2.4421593830334126E-2</v>
      </c>
      <c r="AA457" s="3">
        <v>2.4633942330459603E-2</v>
      </c>
      <c r="AB457" s="3">
        <v>-1.1676216121469112E-2</v>
      </c>
      <c r="AC457" s="3">
        <v>1.504236403135248E-2</v>
      </c>
      <c r="AD457" s="3">
        <v>-1.0869516618810868E-2</v>
      </c>
      <c r="AE457" s="3">
        <v>8.9817877007146579E-3</v>
      </c>
      <c r="AF457" s="3">
        <v>6.8617490808725668E-3</v>
      </c>
      <c r="AG457" s="3">
        <v>3.6036034412790475E-3</v>
      </c>
      <c r="AH457" s="3">
        <v>6.9321533483218442E-2</v>
      </c>
      <c r="AI457" s="3">
        <v>6.603971706859954E-2</v>
      </c>
      <c r="AJ457" s="3">
        <v>-2.5956317127127763E-2</v>
      </c>
      <c r="AK457" s="3">
        <v>2.5806451612903247E-2</v>
      </c>
      <c r="AL457" s="3">
        <v>6.4366126462366878E-3</v>
      </c>
      <c r="AM457" s="3">
        <v>-2.4267686168341053E-2</v>
      </c>
      <c r="AN457" s="3">
        <v>-1.0465446142344284E-2</v>
      </c>
    </row>
    <row r="458" spans="1:40" x14ac:dyDescent="0.3">
      <c r="A458" s="101">
        <v>44972</v>
      </c>
      <c r="B458" s="3">
        <v>-2.0679204404981513E-2</v>
      </c>
      <c r="C458" s="3">
        <v>9.542273626752782E-3</v>
      </c>
      <c r="D458" s="3">
        <v>-2.2331147496605927E-3</v>
      </c>
      <c r="E458" s="3">
        <v>1.2593083503669548E-2</v>
      </c>
      <c r="F458" s="3">
        <v>-1.4938488576449912E-2</v>
      </c>
      <c r="G458" s="3">
        <v>-1.3030768837664379E-2</v>
      </c>
      <c r="H458" s="3">
        <v>1.7978860021732022E-3</v>
      </c>
      <c r="I458" s="3">
        <v>1.0010010010009797E-3</v>
      </c>
      <c r="J458" s="3">
        <v>1.2201148653067314E-2</v>
      </c>
      <c r="K458" s="3">
        <v>-2.2331147496605927E-3</v>
      </c>
      <c r="L458" s="3">
        <v>-6.1997373807800042E-3</v>
      </c>
      <c r="M458" s="3">
        <v>-4.8154091809681793E-3</v>
      </c>
      <c r="N458" s="3">
        <v>3.0096748746835773E-2</v>
      </c>
      <c r="O458" s="3">
        <v>9.542273626752782E-3</v>
      </c>
      <c r="P458" s="3">
        <v>1.2482709777286492E-2</v>
      </c>
      <c r="Q458" s="3">
        <v>-4.2127071823204423E-2</v>
      </c>
      <c r="R458" s="3">
        <v>0</v>
      </c>
      <c r="S458" s="3">
        <v>2.4829298572315332E-3</v>
      </c>
      <c r="T458" s="3">
        <v>9.322953396924174E-4</v>
      </c>
      <c r="U458" s="3">
        <v>-3.75916387834715E-2</v>
      </c>
      <c r="V458" s="3">
        <v>1.0256410256410256E-2</v>
      </c>
      <c r="W458" s="3">
        <v>5.148830065770528E-3</v>
      </c>
      <c r="X458" s="3">
        <v>-3.8180826450893414E-2</v>
      </c>
      <c r="Y458" s="3">
        <v>-3.8080114000293395E-3</v>
      </c>
      <c r="Z458" s="3">
        <v>-2.8858218318695051E-2</v>
      </c>
      <c r="AA458" s="3">
        <v>4.1933575339166335E-2</v>
      </c>
      <c r="AB458" s="3">
        <v>3.4997532056265004E-2</v>
      </c>
      <c r="AC458" s="3">
        <v>4.3144712291833393E-2</v>
      </c>
      <c r="AD458" s="3">
        <v>3.3345957425699881E-2</v>
      </c>
      <c r="AE458" s="3">
        <v>3.604798198526344E-2</v>
      </c>
      <c r="AF458" s="3">
        <v>-2.9616672386015145E-4</v>
      </c>
      <c r="AG458" s="3">
        <v>3.0969388197065288E-2</v>
      </c>
      <c r="AH458" s="3">
        <v>8.8275852639515331E-2</v>
      </c>
      <c r="AI458" s="3">
        <v>0.14857764252345959</v>
      </c>
      <c r="AJ458" s="3">
        <v>4.7355747900634224E-2</v>
      </c>
      <c r="AK458" s="3">
        <v>-2.5157232704402538E-2</v>
      </c>
      <c r="AL458" s="3">
        <v>5.1756532680149389E-2</v>
      </c>
      <c r="AM458" s="3">
        <v>4.9830285878093149E-2</v>
      </c>
      <c r="AN458" s="3">
        <v>2.4001199107483356E-2</v>
      </c>
    </row>
    <row r="459" spans="1:40" x14ac:dyDescent="0.3">
      <c r="A459" s="101">
        <v>44973</v>
      </c>
      <c r="B459" s="3">
        <v>5.5278999769469733E-2</v>
      </c>
      <c r="C459" s="3">
        <v>5.7266167929974458E-3</v>
      </c>
      <c r="D459" s="3">
        <v>6.4912510112488993E-3</v>
      </c>
      <c r="E459" s="3">
        <v>-1.1479166911485357E-3</v>
      </c>
      <c r="F459" s="3">
        <v>-1.7841213202497771E-3</v>
      </c>
      <c r="G459" s="3">
        <v>1.221484230960972E-2</v>
      </c>
      <c r="H459" s="3">
        <v>-2.340288460274266E-3</v>
      </c>
      <c r="I459" s="3">
        <v>-5.0000000000007818E-4</v>
      </c>
      <c r="J459" s="3">
        <v>7.6708223608305381E-3</v>
      </c>
      <c r="K459" s="3">
        <v>6.4912510112488993E-3</v>
      </c>
      <c r="L459" s="3">
        <v>1.2593083503669548E-2</v>
      </c>
      <c r="M459" s="3">
        <v>3.6827929117528788E-2</v>
      </c>
      <c r="N459" s="3">
        <v>-1.0434756521739098E-2</v>
      </c>
      <c r="O459" s="3">
        <v>5.7266167929974458E-3</v>
      </c>
      <c r="P459" s="3">
        <v>3.8812785388127921E-2</v>
      </c>
      <c r="Q459" s="3">
        <v>1.8745493871665464E-2</v>
      </c>
      <c r="R459" s="3">
        <v>2.9999966666666624E-2</v>
      </c>
      <c r="S459" s="3">
        <v>0</v>
      </c>
      <c r="T459" s="3">
        <v>-1.266766020864381E-2</v>
      </c>
      <c r="U459" s="3">
        <v>2.9011360956055682E-2</v>
      </c>
      <c r="V459" s="3">
        <v>-3.1725888324873094E-2</v>
      </c>
      <c r="W459" s="3">
        <v>1.8212900256427068E-2</v>
      </c>
      <c r="X459" s="3">
        <v>2.7729160988275603E-2</v>
      </c>
      <c r="Y459" s="3">
        <v>2.1637433320047875E-3</v>
      </c>
      <c r="Z459" s="3">
        <v>1.1627906976744167E-2</v>
      </c>
      <c r="AA459" s="3">
        <v>-2.4063756536168324E-2</v>
      </c>
      <c r="AB459" s="3">
        <v>-2.718627357387236E-2</v>
      </c>
      <c r="AC459" s="3">
        <v>-1.6574272040302315E-2</v>
      </c>
      <c r="AD459" s="3">
        <v>-3.3003606488708663E-3</v>
      </c>
      <c r="AE459" s="3">
        <v>-5.6997063624064766E-2</v>
      </c>
      <c r="AF459" s="3">
        <v>-1.5115719971702392E-2</v>
      </c>
      <c r="AG459" s="3">
        <v>3.9181542846388395E-3</v>
      </c>
      <c r="AH459" s="3">
        <v>-2.4081159044235471E-2</v>
      </c>
      <c r="AI459" s="3">
        <v>-4.426988560146642E-2</v>
      </c>
      <c r="AJ459" s="3">
        <v>-7.2469032206489781E-3</v>
      </c>
      <c r="AK459" s="3">
        <v>5.8064516129032163E-2</v>
      </c>
      <c r="AL459" s="3">
        <v>-8.844591057727634E-3</v>
      </c>
      <c r="AM459" s="3">
        <v>-5.6300898835786369E-3</v>
      </c>
      <c r="AN459" s="3">
        <v>5.412515613354426E-2</v>
      </c>
    </row>
    <row r="460" spans="1:40" x14ac:dyDescent="0.3">
      <c r="A460" s="101">
        <v>44974</v>
      </c>
      <c r="B460" s="3">
        <v>2.2938009167938884E-2</v>
      </c>
      <c r="C460" s="3">
        <v>-1.6670206516279436E-2</v>
      </c>
      <c r="D460" s="3">
        <v>5.9348948895689233E-4</v>
      </c>
      <c r="E460" s="3">
        <v>3.869200718710684E-3</v>
      </c>
      <c r="F460" s="3">
        <v>1.3404825737265416E-3</v>
      </c>
      <c r="G460" s="3">
        <v>5.1020808811557085E-3</v>
      </c>
      <c r="H460" s="3">
        <v>1.0213360393255707E-4</v>
      </c>
      <c r="I460" s="3">
        <v>4.702351175587801E-2</v>
      </c>
      <c r="J460" s="3">
        <v>1.4378783501741738E-2</v>
      </c>
      <c r="K460" s="3">
        <v>5.9348948895689233E-4</v>
      </c>
      <c r="L460" s="3">
        <v>-1.1479166911485357E-3</v>
      </c>
      <c r="M460" s="3">
        <v>4.1483017889550576E-3</v>
      </c>
      <c r="N460" s="3">
        <v>-7.9089628846501449E-4</v>
      </c>
      <c r="O460" s="3">
        <v>-1.6670206516279436E-2</v>
      </c>
      <c r="P460" s="3">
        <v>-1.2307736263736203E-2</v>
      </c>
      <c r="Q460" s="3">
        <v>1.840056617126681E-2</v>
      </c>
      <c r="R460" s="3">
        <v>-2.9126182172368315E-2</v>
      </c>
      <c r="S460" s="3">
        <v>0</v>
      </c>
      <c r="T460" s="3">
        <v>1.1132075471698177E-2</v>
      </c>
      <c r="U460" s="3">
        <v>-1.5753661497758446E-4</v>
      </c>
      <c r="V460" s="3">
        <v>4.3250327653997382E-2</v>
      </c>
      <c r="W460" s="3">
        <v>-3.7451171117805757E-2</v>
      </c>
      <c r="X460" s="3">
        <v>-7.1002558108564555E-3</v>
      </c>
      <c r="Y460" s="3">
        <v>-2.0870774110200177E-2</v>
      </c>
      <c r="Z460" s="3">
        <v>-2.554278416347441E-3</v>
      </c>
      <c r="AA460" s="3">
        <v>-5.1234584519965501E-2</v>
      </c>
      <c r="AB460" s="3">
        <v>-2.3908668099542747E-2</v>
      </c>
      <c r="AC460" s="3">
        <v>-3.8932461080235396E-2</v>
      </c>
      <c r="AD460" s="3">
        <v>-2.6857876460313689E-2</v>
      </c>
      <c r="AE460" s="3">
        <v>-6.3148399876380698E-2</v>
      </c>
      <c r="AF460" s="3">
        <v>-1.8356960649986851E-2</v>
      </c>
      <c r="AG460" s="3">
        <v>2.6019949090196068E-3</v>
      </c>
      <c r="AH460" s="3">
        <v>-2.2077914742023197E-2</v>
      </c>
      <c r="AI460" s="3">
        <v>1.6252559521462617E-3</v>
      </c>
      <c r="AJ460" s="3">
        <v>-2.6977686567160014E-2</v>
      </c>
      <c r="AK460" s="3">
        <v>-2.4390243902438911E-2</v>
      </c>
      <c r="AL460" s="3">
        <v>-1.6630084590143417E-2</v>
      </c>
      <c r="AM460" s="3">
        <v>-4.6108087863859067E-2</v>
      </c>
      <c r="AN460" s="3">
        <v>-8.806844933102553E-3</v>
      </c>
    </row>
    <row r="461" spans="1:40" x14ac:dyDescent="0.3">
      <c r="A461" s="101">
        <v>44977</v>
      </c>
      <c r="B461" s="3">
        <v>-2.7512710738106714E-2</v>
      </c>
      <c r="C461" s="3">
        <v>-3.2021729110895757E-2</v>
      </c>
      <c r="D461" s="3">
        <v>-3.6658157263196834E-3</v>
      </c>
      <c r="E461" s="3">
        <v>-2.2893839224008642E-4</v>
      </c>
      <c r="F461" s="3">
        <v>0</v>
      </c>
      <c r="G461" s="3">
        <v>3.8534521670255728E-2</v>
      </c>
      <c r="H461" s="3">
        <v>-3.096638171006999E-3</v>
      </c>
      <c r="I461" s="3">
        <v>1.4811275680840837E-2</v>
      </c>
      <c r="J461" s="3">
        <v>-1.7510282659602396E-2</v>
      </c>
      <c r="K461" s="3">
        <v>-3.6658157263196834E-3</v>
      </c>
      <c r="L461" s="3">
        <v>3.869200718710684E-3</v>
      </c>
      <c r="M461" s="3">
        <v>3.8729666924864452E-2</v>
      </c>
      <c r="N461" s="3">
        <v>1.5038246548573187E-2</v>
      </c>
      <c r="O461" s="3">
        <v>-3.2021729110895757E-2</v>
      </c>
      <c r="P461" s="3">
        <v>1.6021407032550242E-2</v>
      </c>
      <c r="Q461" s="3">
        <v>-9.0340514246004169E-3</v>
      </c>
      <c r="R461" s="3">
        <v>2.2000033333333294E-2</v>
      </c>
      <c r="S461" s="3">
        <v>0</v>
      </c>
      <c r="T461" s="3">
        <v>2.0339615599925288E-2</v>
      </c>
      <c r="U461" s="3">
        <v>5.1985034656585206E-3</v>
      </c>
      <c r="V461" s="3">
        <v>-6.2814070351758797E-3</v>
      </c>
      <c r="W461" s="3">
        <v>1.2775972668375241E-2</v>
      </c>
      <c r="X461" s="3">
        <v>-6.006836556259723E-3</v>
      </c>
      <c r="Y461" s="3">
        <v>1.4700256934209418E-3</v>
      </c>
      <c r="Z461" s="3">
        <v>7.6824583866838027E-3</v>
      </c>
      <c r="AA461" s="3">
        <v>-3.643680360211532E-2</v>
      </c>
      <c r="AB461" s="3">
        <v>-2.6562472287493716E-2</v>
      </c>
      <c r="AC461" s="3">
        <v>-5.2235808047354565E-3</v>
      </c>
      <c r="AD461" s="3">
        <v>7.9393741724392234E-3</v>
      </c>
      <c r="AE461" s="3">
        <v>-3.0428464716966027E-2</v>
      </c>
      <c r="AF461" s="3">
        <v>0.10469439936512828</v>
      </c>
      <c r="AG461" s="3">
        <v>1.081314832123061E-2</v>
      </c>
      <c r="AH461" s="3">
        <v>4.2496744524931664E-2</v>
      </c>
      <c r="AI461" s="3">
        <v>1.2440255849639049E-2</v>
      </c>
      <c r="AJ461" s="3">
        <v>-4.1262350642200359E-2</v>
      </c>
      <c r="AK461" s="3">
        <v>-9.3750000000000083E-2</v>
      </c>
      <c r="AL461" s="3">
        <v>-2.8622210083374008E-2</v>
      </c>
      <c r="AM461" s="3">
        <v>-2.7356596169792489E-2</v>
      </c>
      <c r="AN461" s="3">
        <v>-2.5229489526664428E-2</v>
      </c>
    </row>
    <row r="462" spans="1:40" x14ac:dyDescent="0.3">
      <c r="A462" s="101">
        <v>44978</v>
      </c>
      <c r="B462" s="3">
        <v>2.4693374746001129E-2</v>
      </c>
      <c r="C462" s="3">
        <v>3.2432145994672895E-3</v>
      </c>
      <c r="D462" s="3">
        <v>1.147545426188133E-3</v>
      </c>
      <c r="E462" s="3">
        <v>-2.5956359227863358E-3</v>
      </c>
      <c r="F462" s="3">
        <v>2.3203926818384651E-2</v>
      </c>
      <c r="G462" s="3">
        <v>-3.0261794586287877E-2</v>
      </c>
      <c r="H462" s="3">
        <v>3.3805330205045887E-3</v>
      </c>
      <c r="I462" s="3">
        <v>-1.177024482109228E-2</v>
      </c>
      <c r="J462" s="3">
        <v>4.84902432553053E-4</v>
      </c>
      <c r="K462" s="3">
        <v>1.147545426188133E-3</v>
      </c>
      <c r="L462" s="3">
        <v>-2.2893839224008642E-4</v>
      </c>
      <c r="M462" s="3">
        <v>-1.24285359184681E-3</v>
      </c>
      <c r="N462" s="3">
        <v>2.4692419419379965E-2</v>
      </c>
      <c r="O462" s="3">
        <v>3.2432145994672895E-3</v>
      </c>
      <c r="P462" s="3">
        <v>3.6355672360928688E-2</v>
      </c>
      <c r="Q462" s="3">
        <v>3.0154277699859747E-2</v>
      </c>
      <c r="R462" s="3">
        <v>1.6525298439053145E-2</v>
      </c>
      <c r="S462" s="3">
        <v>0</v>
      </c>
      <c r="T462" s="3">
        <v>-9.1441111923920987E-3</v>
      </c>
      <c r="U462" s="3">
        <v>3.3693746533556654E-2</v>
      </c>
      <c r="V462" s="3">
        <v>1.3906447534766119E-2</v>
      </c>
      <c r="W462" s="3">
        <v>1.8348599344187314E-2</v>
      </c>
      <c r="X462" s="3">
        <v>2.1870446043165556E-2</v>
      </c>
      <c r="Y462" s="3">
        <v>-2.4220330275229905E-3</v>
      </c>
      <c r="Z462" s="3">
        <v>-6.353240152477741E-3</v>
      </c>
      <c r="AA462" s="3">
        <v>4.634835423064803E-2</v>
      </c>
      <c r="AB462" s="3">
        <v>2.9677457476014583E-2</v>
      </c>
      <c r="AC462" s="3">
        <v>2.8934222018586947E-2</v>
      </c>
      <c r="AD462" s="3">
        <v>1.8754700796644156E-2</v>
      </c>
      <c r="AE462" s="3">
        <v>1.132187880977484E-2</v>
      </c>
      <c r="AF462" s="3">
        <v>-1.5655614418371079E-2</v>
      </c>
      <c r="AG462" s="3">
        <v>1.6688018113478177E-2</v>
      </c>
      <c r="AH462" s="3">
        <v>1.1464880171282511E-2</v>
      </c>
      <c r="AI462" s="3">
        <v>-5.0751869635672379E-3</v>
      </c>
      <c r="AJ462" s="3">
        <v>1.5565236965353656E-2</v>
      </c>
      <c r="AK462" s="3">
        <v>4.8275862068965558E-2</v>
      </c>
      <c r="AL462" s="3">
        <v>2.3035245651413037E-2</v>
      </c>
      <c r="AM462" s="3">
        <v>3.8488231821146364E-2</v>
      </c>
      <c r="AN462" s="3">
        <v>3.8867730091032282E-2</v>
      </c>
    </row>
    <row r="463" spans="1:40" x14ac:dyDescent="0.3">
      <c r="A463" s="101">
        <v>44979</v>
      </c>
      <c r="B463" s="3">
        <v>-8.4583618234795096E-3</v>
      </c>
      <c r="C463" s="3">
        <v>3.0172060943733409E-3</v>
      </c>
      <c r="D463" s="3">
        <v>5.3727317367959979E-4</v>
      </c>
      <c r="E463" s="3">
        <v>4.9746762646454888E-4</v>
      </c>
      <c r="F463" s="3">
        <v>4.143044047099869E-2</v>
      </c>
      <c r="G463" s="3">
        <v>4.3609733632368038E-2</v>
      </c>
      <c r="H463" s="3">
        <v>1.7883137156746013E-3</v>
      </c>
      <c r="I463" s="3">
        <v>1.429252024773756E-3</v>
      </c>
      <c r="J463" s="3">
        <v>-5.2108744685251847E-3</v>
      </c>
      <c r="K463" s="3">
        <v>5.3727317367959979E-4</v>
      </c>
      <c r="L463" s="3">
        <v>-2.5956359227863358E-3</v>
      </c>
      <c r="M463" s="3">
        <v>5.973125933300151E-2</v>
      </c>
      <c r="N463" s="3">
        <v>-3.3651780679422864E-2</v>
      </c>
      <c r="O463" s="3">
        <v>3.0172060943733409E-3</v>
      </c>
      <c r="P463" s="3">
        <v>1.0989010989011056E-2</v>
      </c>
      <c r="Q463" s="3">
        <v>4.4247787610619468E-2</v>
      </c>
      <c r="R463" s="3">
        <v>-5.3475935828877002E-3</v>
      </c>
      <c r="S463" s="3">
        <v>0</v>
      </c>
      <c r="T463" s="3">
        <v>5.5369139904030387E-4</v>
      </c>
      <c r="U463" s="3">
        <v>6.0644330816323584E-4</v>
      </c>
      <c r="V463" s="3">
        <v>-2.7431421446384038E-2</v>
      </c>
      <c r="W463" s="3">
        <v>0</v>
      </c>
      <c r="X463" s="3">
        <v>7.60352056341973E-3</v>
      </c>
      <c r="Y463" s="3">
        <v>4.4879415021769732E-3</v>
      </c>
      <c r="Z463" s="3">
        <v>7.6726342710996941E-3</v>
      </c>
      <c r="AA463" s="3">
        <v>4.7812041318391306E-2</v>
      </c>
      <c r="AB463" s="3">
        <v>2.901537662222848E-2</v>
      </c>
      <c r="AC463" s="3">
        <v>6.0407259596975821E-2</v>
      </c>
      <c r="AD463" s="3">
        <v>4.1237203179164135E-2</v>
      </c>
      <c r="AE463" s="3">
        <v>0.12844939352942375</v>
      </c>
      <c r="AF463" s="3">
        <v>2.9537087822403132E-2</v>
      </c>
      <c r="AG463" s="3">
        <v>2.1464646464646381E-2</v>
      </c>
      <c r="AH463" s="3">
        <v>5.1637383244243065E-2</v>
      </c>
      <c r="AI463" s="3">
        <v>6.0229125715930282E-2</v>
      </c>
      <c r="AJ463" s="3">
        <v>4.8492503365534408E-2</v>
      </c>
      <c r="AK463" s="3">
        <v>0</v>
      </c>
      <c r="AL463" s="3">
        <v>3.1081160279590792E-2</v>
      </c>
      <c r="AM463" s="3">
        <v>4.0087269818181746E-2</v>
      </c>
      <c r="AN463" s="3">
        <v>3.893356333404431E-2</v>
      </c>
    </row>
    <row r="464" spans="1:40" x14ac:dyDescent="0.3">
      <c r="A464" s="101">
        <v>44980</v>
      </c>
      <c r="B464" s="3">
        <v>1.0944803172468763E-2</v>
      </c>
      <c r="C464" s="3">
        <v>1.2893559240929181E-3</v>
      </c>
      <c r="D464" s="3">
        <v>1.0096116142539085E-3</v>
      </c>
      <c r="E464" s="3">
        <v>3.0982537919238308E-3</v>
      </c>
      <c r="F464" s="3">
        <v>8.375209380234506E-4</v>
      </c>
      <c r="G464" s="3">
        <v>-1.2389219216373967E-2</v>
      </c>
      <c r="H464" s="3">
        <v>1.18021835683359E-3</v>
      </c>
      <c r="I464" s="3">
        <v>1.0466222645099851E-2</v>
      </c>
      <c r="J464" s="3">
        <v>4.5072676730395934E-3</v>
      </c>
      <c r="K464" s="3">
        <v>1.0096116142539085E-3</v>
      </c>
      <c r="L464" s="3">
        <v>4.9746762646454888E-4</v>
      </c>
      <c r="M464" s="3">
        <v>1.5969844247541432E-2</v>
      </c>
      <c r="N464" s="3">
        <v>-1.2862026311470681E-2</v>
      </c>
      <c r="O464" s="3">
        <v>1.2893559240929181E-3</v>
      </c>
      <c r="P464" s="3">
        <v>7.1070234113711599E-3</v>
      </c>
      <c r="Q464" s="3">
        <v>2.9986962190352021E-2</v>
      </c>
      <c r="R464" s="3">
        <v>-1.0752688172043012E-2</v>
      </c>
      <c r="S464" s="3">
        <v>2.4767801857585141E-2</v>
      </c>
      <c r="T464" s="3">
        <v>5.3495850461092358E-3</v>
      </c>
      <c r="U464" s="3">
        <v>-2.2727575757575855E-3</v>
      </c>
      <c r="V464" s="3">
        <v>-3.8461538461538464E-3</v>
      </c>
      <c r="W464" s="3">
        <v>-1.0698254966252646E-2</v>
      </c>
      <c r="X464" s="3">
        <v>5.5897430293388312E-3</v>
      </c>
      <c r="Y464" s="3">
        <v>5.4200908622287214E-3</v>
      </c>
      <c r="Z464" s="3">
        <v>6.3451776649745967E-3</v>
      </c>
      <c r="AA464" s="3">
        <v>3.7335010350380449E-2</v>
      </c>
      <c r="AB464" s="3">
        <v>6.4540450165387593E-3</v>
      </c>
      <c r="AC464" s="3">
        <v>2.0674708523432006E-2</v>
      </c>
      <c r="AD464" s="3">
        <v>-1.4144846589013711E-3</v>
      </c>
      <c r="AE464" s="3">
        <v>4.3251177678141954E-2</v>
      </c>
      <c r="AF464" s="3">
        <v>1.7103335600188962E-2</v>
      </c>
      <c r="AG464" s="3">
        <v>-1.2360980634528149E-2</v>
      </c>
      <c r="AH464" s="3">
        <v>5.9878433334033081E-3</v>
      </c>
      <c r="AI464" s="3">
        <v>5.908655070992831E-3</v>
      </c>
      <c r="AJ464" s="3">
        <v>1.7733025180816327E-2</v>
      </c>
      <c r="AK464" s="3">
        <v>1.9736842105263174E-2</v>
      </c>
      <c r="AL464" s="3">
        <v>6.8066763095353863E-3</v>
      </c>
      <c r="AM464" s="3">
        <v>3.8793933484725623E-2</v>
      </c>
      <c r="AN464" s="3">
        <v>2.7007745662876368E-2</v>
      </c>
    </row>
    <row r="465" spans="1:40" x14ac:dyDescent="0.3">
      <c r="A465" s="101">
        <v>44981</v>
      </c>
      <c r="B465" s="3">
        <v>4.7764274682822791E-4</v>
      </c>
      <c r="C465" s="3">
        <v>-2.2175476284050782E-3</v>
      </c>
      <c r="D465" s="3">
        <v>-3.0471821746807688E-3</v>
      </c>
      <c r="E465" s="3">
        <v>-5.3003557610844338E-3</v>
      </c>
      <c r="F465" s="3">
        <v>6.2761506276150627E-3</v>
      </c>
      <c r="G465" s="3">
        <v>6.25106725206564E-3</v>
      </c>
      <c r="H465" s="3">
        <v>9.7524134760619866E-4</v>
      </c>
      <c r="I465" s="3">
        <v>4.7551789077212886E-2</v>
      </c>
      <c r="J465" s="3">
        <v>4.0020479749472079E-3</v>
      </c>
      <c r="K465" s="3">
        <v>-3.0471821746807688E-3</v>
      </c>
      <c r="L465" s="3">
        <v>3.0982537919238308E-3</v>
      </c>
      <c r="M465" s="3">
        <v>-3.9296811802903833E-3</v>
      </c>
      <c r="N465" s="3">
        <v>-1.3118276901258588E-2</v>
      </c>
      <c r="O465" s="3">
        <v>-2.2175476284050782E-3</v>
      </c>
      <c r="P465" s="3">
        <v>1.7019510170195106E-2</v>
      </c>
      <c r="Q465" s="3">
        <v>5.6962025316455696E-3</v>
      </c>
      <c r="R465" s="3">
        <v>-4.9999891304347418E-3</v>
      </c>
      <c r="S465" s="3">
        <v>0</v>
      </c>
      <c r="T465" s="3">
        <v>-1.4679266055045936E-3</v>
      </c>
      <c r="U465" s="3">
        <v>-7.2892181409026377E-3</v>
      </c>
      <c r="V465" s="3">
        <v>1.5444015444015444E-2</v>
      </c>
      <c r="W465" s="3">
        <v>9.5617620880202647E-2</v>
      </c>
      <c r="X465" s="3">
        <v>-1.3896609227348528E-2</v>
      </c>
      <c r="Y465" s="3">
        <v>1.8649362026681424E-2</v>
      </c>
      <c r="Z465" s="3">
        <v>2.3959646910466519E-2</v>
      </c>
      <c r="AA465" s="3">
        <v>3.8767793677368961E-2</v>
      </c>
      <c r="AB465" s="3">
        <v>2.0918961217298328E-2</v>
      </c>
      <c r="AC465" s="3">
        <v>4.1618596836385538E-2</v>
      </c>
      <c r="AD465" s="3">
        <v>2.8328672760805237E-3</v>
      </c>
      <c r="AE465" s="3">
        <v>4.1458134170623946E-2</v>
      </c>
      <c r="AF465" s="3">
        <v>5.9670340127121243E-3</v>
      </c>
      <c r="AG465" s="3">
        <v>7.0921988774383408E-3</v>
      </c>
      <c r="AH465" s="3">
        <v>2.3809652827525021E-2</v>
      </c>
      <c r="AI465" s="3">
        <v>1.1915708226045601E-2</v>
      </c>
      <c r="AJ465" s="3">
        <v>3.0060467168587218E-2</v>
      </c>
      <c r="AK465" s="3">
        <v>3.2258064516129059E-2</v>
      </c>
      <c r="AL465" s="3">
        <v>1.6352124235145912E-2</v>
      </c>
      <c r="AM465" s="3">
        <v>2.4771168951607511E-2</v>
      </c>
      <c r="AN465" s="3">
        <v>2.5512156977749226E-2</v>
      </c>
    </row>
    <row r="466" spans="1:40" x14ac:dyDescent="0.3">
      <c r="A466" s="101">
        <v>44984</v>
      </c>
      <c r="B466" s="3">
        <v>-9.0706703480614402E-3</v>
      </c>
      <c r="C466" s="3">
        <v>9.1046465909682996E-3</v>
      </c>
      <c r="D466" s="3">
        <v>-5.6035039372041712E-3</v>
      </c>
      <c r="E466" s="3">
        <v>-4.907061234723808E-3</v>
      </c>
      <c r="F466" s="3">
        <v>-2.6611226611226613E-2</v>
      </c>
      <c r="G466" s="3">
        <v>-1.2044144613021529E-2</v>
      </c>
      <c r="H466" s="3">
        <v>1.6106968642258625E-3</v>
      </c>
      <c r="I466" s="3">
        <v>8.9888089887640594E-3</v>
      </c>
      <c r="J466" s="3">
        <v>1.3528272089806778E-2</v>
      </c>
      <c r="K466" s="3">
        <v>-5.6035039372041712E-3</v>
      </c>
      <c r="L466" s="3">
        <v>-5.3003557610844338E-3</v>
      </c>
      <c r="M466" s="3">
        <v>-5.3376421443491872E-3</v>
      </c>
      <c r="N466" s="3">
        <v>2.6764901266926523E-2</v>
      </c>
      <c r="O466" s="3">
        <v>9.1046465909682996E-3</v>
      </c>
      <c r="P466" s="3">
        <v>2.4489387755102549E-3</v>
      </c>
      <c r="Q466" s="3">
        <v>-3.0837004405286344E-2</v>
      </c>
      <c r="R466" s="3">
        <v>9.3948109089489404E-3</v>
      </c>
      <c r="S466" s="3">
        <v>3.1604261933534737E-2</v>
      </c>
      <c r="T466" s="3">
        <v>1.4333021474936487E-2</v>
      </c>
      <c r="U466" s="3">
        <v>6.7308395258907387E-3</v>
      </c>
      <c r="V466" s="3">
        <v>-6.3371356147021544E-3</v>
      </c>
      <c r="W466" s="3">
        <v>-2.5974713200573787E-3</v>
      </c>
      <c r="X466" s="3">
        <v>2.8184892897406992E-2</v>
      </c>
      <c r="Y466" s="3">
        <v>2.1454837710722752E-3</v>
      </c>
      <c r="Z466" s="3">
        <v>4.926108374384351E-3</v>
      </c>
      <c r="AA466" s="3">
        <v>1.7417966065568922E-2</v>
      </c>
      <c r="AB466" s="3">
        <v>8.5376256496213464E-3</v>
      </c>
      <c r="AC466" s="3">
        <v>-2.3095754466817071E-2</v>
      </c>
      <c r="AD466" s="3">
        <v>-3.1779956049104324E-3</v>
      </c>
      <c r="AE466" s="3">
        <v>-3.4761682575277252E-2</v>
      </c>
      <c r="AF466" s="3">
        <v>-1.8603323010289694E-2</v>
      </c>
      <c r="AG466" s="3">
        <v>4.142916493078164E-4</v>
      </c>
      <c r="AH466" s="3">
        <v>-2.9069715471825391E-2</v>
      </c>
      <c r="AI466" s="3">
        <v>-2.3136222591768459E-2</v>
      </c>
      <c r="AJ466" s="3">
        <v>-8.0006497589102769E-3</v>
      </c>
      <c r="AK466" s="3">
        <v>-4.3750000000000039E-2</v>
      </c>
      <c r="AL466" s="3">
        <v>-2.3610706368143173E-3</v>
      </c>
      <c r="AM466" s="3">
        <v>-1.5790882567668751E-2</v>
      </c>
      <c r="AN466" s="3">
        <v>1.4945503674208237E-3</v>
      </c>
    </row>
    <row r="467" spans="1:40" x14ac:dyDescent="0.3">
      <c r="A467" s="101">
        <v>44985</v>
      </c>
      <c r="B467" s="3">
        <v>-2.2482804616156199E-3</v>
      </c>
      <c r="C467" s="3">
        <v>1.4350634973386317E-2</v>
      </c>
      <c r="D467" s="3">
        <v>1.6154880252931967E-2</v>
      </c>
      <c r="E467" s="3">
        <v>1.0517431393116488E-2</v>
      </c>
      <c r="F467" s="3">
        <v>2.1358393848782574E-3</v>
      </c>
      <c r="G467" s="3">
        <v>0</v>
      </c>
      <c r="H467" s="3">
        <v>-1.0447780747262047E-3</v>
      </c>
      <c r="I467" s="3">
        <v>-1.4699331193793793E-2</v>
      </c>
      <c r="J467" s="3">
        <v>6.5545543035852747E-3</v>
      </c>
      <c r="K467" s="3">
        <v>1.6154880252931967E-2</v>
      </c>
      <c r="L467" s="3">
        <v>-4.907061234723808E-3</v>
      </c>
      <c r="M467" s="3">
        <v>2.3327110981642444E-4</v>
      </c>
      <c r="N467" s="3">
        <v>-1.1546536039188185E-2</v>
      </c>
      <c r="O467" s="3">
        <v>1.4350634973386317E-2</v>
      </c>
      <c r="P467" s="3">
        <v>0</v>
      </c>
      <c r="Q467" s="3">
        <v>1.1688311688311689E-2</v>
      </c>
      <c r="R467" s="3">
        <v>-2.7056276470643365E-2</v>
      </c>
      <c r="S467" s="3">
        <v>0</v>
      </c>
      <c r="T467" s="3">
        <v>-2.5362318381117522E-3</v>
      </c>
      <c r="U467" s="3">
        <v>5.7134206264525346E-2</v>
      </c>
      <c r="V467" s="3">
        <v>-1.020408163265306E-2</v>
      </c>
      <c r="W467" s="3">
        <v>-2.0312498362735971E-2</v>
      </c>
      <c r="X467" s="3">
        <v>-8.2234100877183545E-4</v>
      </c>
      <c r="Y467" s="3">
        <v>-7.4930633164539155E-3</v>
      </c>
      <c r="Z467" s="3">
        <v>4.9019607843136213E-3</v>
      </c>
      <c r="AA467" s="3">
        <v>7.9052436312003135E-2</v>
      </c>
      <c r="AB467" s="3">
        <v>2.0800690070459895E-2</v>
      </c>
      <c r="AC467" s="3">
        <v>2.4398264116547712E-2</v>
      </c>
      <c r="AD467" s="3">
        <v>9.9185661469602913E-3</v>
      </c>
      <c r="AE467" s="3">
        <v>4.1739265758206558E-2</v>
      </c>
      <c r="AF467" s="3">
        <v>2.8296566756757749E-2</v>
      </c>
      <c r="AG467" s="3">
        <v>-7.8675362318840064E-3</v>
      </c>
      <c r="AH467" s="3">
        <v>7.1856179344084739E-2</v>
      </c>
      <c r="AI467" s="3">
        <v>1.6893008217540469E-2</v>
      </c>
      <c r="AJ467" s="3">
        <v>2.2275212883327348E-2</v>
      </c>
      <c r="AK467" s="3">
        <v>1.9607843137254919E-2</v>
      </c>
      <c r="AL467" s="3">
        <v>2.7835856929846216E-2</v>
      </c>
      <c r="AM467" s="3">
        <v>2.2237692113913257E-2</v>
      </c>
      <c r="AN467" s="3">
        <v>2.1038302195234351E-2</v>
      </c>
    </row>
    <row r="468" spans="1:40" x14ac:dyDescent="0.3">
      <c r="A468" s="101">
        <v>44986</v>
      </c>
      <c r="B468" s="3">
        <v>1.3037144142648907E-2</v>
      </c>
      <c r="C468" s="3">
        <v>-4.9020465945305255E-4</v>
      </c>
      <c r="D468" s="3">
        <v>4.9284630536893567E-2</v>
      </c>
      <c r="E468" s="3">
        <v>8.3860472707170445E-4</v>
      </c>
      <c r="F468" s="3">
        <v>-5.9676044330775786E-3</v>
      </c>
      <c r="G468" s="3">
        <v>-3.6786765492287095E-3</v>
      </c>
      <c r="H468" s="3">
        <v>-1.6229029307331948E-3</v>
      </c>
      <c r="I468" s="3">
        <v>1.7178977523554431E-2</v>
      </c>
      <c r="J468" s="3">
        <v>5.3279565098251101E-3</v>
      </c>
      <c r="K468" s="3">
        <v>4.9284630536893567E-2</v>
      </c>
      <c r="L468" s="3">
        <v>1.0517431393116488E-2</v>
      </c>
      <c r="M468" s="3">
        <v>-1.4229088272196995E-2</v>
      </c>
      <c r="N468" s="3">
        <v>1.8495539823008843E-2</v>
      </c>
      <c r="O468" s="3">
        <v>-4.9020465945305255E-4</v>
      </c>
      <c r="P468" s="3">
        <v>-2.4429561255275801E-3</v>
      </c>
      <c r="Q468" s="3">
        <v>1.9255455712451862E-3</v>
      </c>
      <c r="R468" s="3">
        <v>-9.7887094596504787E-3</v>
      </c>
      <c r="S468" s="3">
        <v>0</v>
      </c>
      <c r="T468" s="3">
        <v>-1.0897384473349311E-3</v>
      </c>
      <c r="U468" s="3">
        <v>-3.4353888170188106E-2</v>
      </c>
      <c r="V468" s="3">
        <v>-2.0618556701030927E-2</v>
      </c>
      <c r="W468" s="3">
        <v>3.72133208894884E-3</v>
      </c>
      <c r="X468" s="3">
        <v>-3.4293551871233147E-2</v>
      </c>
      <c r="Y468" s="3">
        <v>4.5298029259446138E-3</v>
      </c>
      <c r="Z468" s="3">
        <v>-2.1951219512195089E-2</v>
      </c>
      <c r="AA468" s="3">
        <v>5.1611361428023353E-3</v>
      </c>
      <c r="AB468" s="3">
        <v>8.2335784414999339E-3</v>
      </c>
      <c r="AC468" s="3">
        <v>-1.472414995774245E-2</v>
      </c>
      <c r="AD468" s="3">
        <v>-4.9105230843279378E-3</v>
      </c>
      <c r="AE468" s="3">
        <v>-1.5931575466532331E-3</v>
      </c>
      <c r="AF468" s="3">
        <v>5.0760841453052529E-3</v>
      </c>
      <c r="AG468" s="3">
        <v>-1.210346461199761E-2</v>
      </c>
      <c r="AH468" s="3">
        <v>-6.7039012069750478E-2</v>
      </c>
      <c r="AI468" s="3">
        <v>-3.6897898987872282E-2</v>
      </c>
      <c r="AJ468" s="3">
        <v>-6.7632716620941993E-4</v>
      </c>
      <c r="AK468" s="3">
        <v>3.2051282051282076E-2</v>
      </c>
      <c r="AL468" s="3">
        <v>-1.2646376294028117E-2</v>
      </c>
      <c r="AM468" s="3">
        <v>-2.20151016238475E-2</v>
      </c>
      <c r="AN468" s="3">
        <v>-8.9818176357758604E-3</v>
      </c>
    </row>
    <row r="469" spans="1:40" x14ac:dyDescent="0.3">
      <c r="A469" s="101">
        <v>44987</v>
      </c>
      <c r="B469" s="3">
        <v>4.7672048440496035E-4</v>
      </c>
      <c r="C469" s="3">
        <v>3.2232256432663938E-3</v>
      </c>
      <c r="D469" s="3">
        <v>4.9331412374022464E-2</v>
      </c>
      <c r="E469" s="3">
        <v>3.0481129231076977E-4</v>
      </c>
      <c r="F469" s="3">
        <v>1.2864493996569469E-3</v>
      </c>
      <c r="G469" s="3">
        <v>2.1466598157879085E-2</v>
      </c>
      <c r="H469" s="3">
        <v>2.2921770427632182E-3</v>
      </c>
      <c r="I469" s="3">
        <v>1.0222222222222242E-2</v>
      </c>
      <c r="J469" s="3">
        <v>-3.7687170873564658E-3</v>
      </c>
      <c r="K469" s="3">
        <v>4.9331412374022464E-2</v>
      </c>
      <c r="L469" s="3">
        <v>8.3860472707170445E-4</v>
      </c>
      <c r="M469" s="3">
        <v>4.7328445211931847E-4</v>
      </c>
      <c r="N469" s="3">
        <v>3.1279955905115934E-3</v>
      </c>
      <c r="O469" s="3">
        <v>3.2232256432663938E-3</v>
      </c>
      <c r="P469" s="3">
        <v>8.1632653061222747E-4</v>
      </c>
      <c r="Q469" s="3">
        <v>3.2030749519538757E-3</v>
      </c>
      <c r="R469" s="3">
        <v>-1.6850146602453826E-2</v>
      </c>
      <c r="S469" s="3">
        <v>3.6718652809868246E-2</v>
      </c>
      <c r="T469" s="3">
        <v>2.7818163636363573E-2</v>
      </c>
      <c r="U469" s="3">
        <v>4.063715391485552E-2</v>
      </c>
      <c r="V469" s="3">
        <v>1.1842105263157895E-2</v>
      </c>
      <c r="W469" s="3">
        <v>-1.3241541375785678E-2</v>
      </c>
      <c r="X469" s="3">
        <v>3.4090624031516354E-3</v>
      </c>
      <c r="Y469" s="3">
        <v>-8.5176647367857499E-3</v>
      </c>
      <c r="Z469" s="3">
        <v>-7.4812967581046894E-3</v>
      </c>
      <c r="AA469" s="3">
        <v>1.4823129903750351E-2</v>
      </c>
      <c r="AB469" s="3">
        <v>2.2677822936905578E-2</v>
      </c>
      <c r="AC469" s="3">
        <v>2.862362878119841E-2</v>
      </c>
      <c r="AD469" s="3">
        <v>3.8772663209945568E-3</v>
      </c>
      <c r="AE469" s="3">
        <v>1.5876863439504129E-2</v>
      </c>
      <c r="AF469" s="3">
        <v>7.1770528387206153E-3</v>
      </c>
      <c r="AG469" s="3">
        <v>1.6476510350654817E-2</v>
      </c>
      <c r="AH469" s="3">
        <v>7.1855331379218571E-3</v>
      </c>
      <c r="AI469" s="3">
        <v>5.4607458350865827E-3</v>
      </c>
      <c r="AJ469" s="3">
        <v>-6.9172503196582814E-3</v>
      </c>
      <c r="AK469" s="3">
        <v>2.4844720496894294E-2</v>
      </c>
      <c r="AL469" s="3">
        <v>2.0277481230906742E-2</v>
      </c>
      <c r="AM469" s="3">
        <v>3.257766649517187E-3</v>
      </c>
      <c r="AN469" s="3">
        <v>1.4779018934843462E-3</v>
      </c>
    </row>
    <row r="470" spans="1:40" x14ac:dyDescent="0.3">
      <c r="A470" s="101">
        <v>44988</v>
      </c>
      <c r="B470" s="3">
        <v>-7.9402921786890669E-3</v>
      </c>
      <c r="C470" s="3">
        <v>1.061677227112843E-2</v>
      </c>
      <c r="D470" s="3">
        <v>-5.8188099776593651E-2</v>
      </c>
      <c r="E470" s="3">
        <v>7.6167392195603727E-4</v>
      </c>
      <c r="F470" s="3">
        <v>1.7130620985010706E-3</v>
      </c>
      <c r="G470" s="3">
        <v>-1.6350029559095695E-2</v>
      </c>
      <c r="H470" s="3">
        <v>-2.7521853662363532E-4</v>
      </c>
      <c r="I470" s="3">
        <v>1.1438627364716146E-2</v>
      </c>
      <c r="J470" s="3">
        <v>8.8662367879362072E-3</v>
      </c>
      <c r="K470" s="3">
        <v>-5.8188099776593651E-2</v>
      </c>
      <c r="L470" s="3">
        <v>3.0481129231076977E-4</v>
      </c>
      <c r="M470" s="3">
        <v>7.095624576528581E-3</v>
      </c>
      <c r="N470" s="3">
        <v>-9.0081682721914278E-3</v>
      </c>
      <c r="O470" s="3">
        <v>1.061677227112843E-2</v>
      </c>
      <c r="P470" s="3">
        <v>4.0787112561170628E-4</v>
      </c>
      <c r="Q470" s="3">
        <v>-2.8097062579821201E-2</v>
      </c>
      <c r="R470" s="3">
        <v>3.1764237834697368E-2</v>
      </c>
      <c r="S470" s="3">
        <v>-1.7511346126716034E-2</v>
      </c>
      <c r="T470" s="3">
        <v>-1.8574191023778362E-2</v>
      </c>
      <c r="U470" s="3">
        <v>-3.2900012421683438E-3</v>
      </c>
      <c r="V470" s="3">
        <v>3.3810143042912875E-2</v>
      </c>
      <c r="W470" s="3">
        <v>-1.6639748515352683E-2</v>
      </c>
      <c r="X470" s="3">
        <v>1.1891336353340788E-2</v>
      </c>
      <c r="Y470" s="3">
        <v>-3.9705673124295019E-3</v>
      </c>
      <c r="Z470" s="3">
        <v>-3.5175879396984959E-2</v>
      </c>
      <c r="AA470" s="3">
        <v>-3.2349387049856139E-3</v>
      </c>
      <c r="AB470" s="3">
        <v>3.7340906274185848E-3</v>
      </c>
      <c r="AC470" s="3">
        <v>1.0247301217237744E-2</v>
      </c>
      <c r="AD470" s="3">
        <v>-1.4044793709757526E-3</v>
      </c>
      <c r="AE470" s="3">
        <v>-2.8115934530496541E-2</v>
      </c>
      <c r="AF470" s="3">
        <v>1.5571493855513518E-2</v>
      </c>
      <c r="AG470" s="3">
        <v>-2.9093517418684349E-3</v>
      </c>
      <c r="AH470" s="3">
        <v>-1.902487931746168E-2</v>
      </c>
      <c r="AI470" s="3">
        <v>9.0516986093528498E-3</v>
      </c>
      <c r="AJ470" s="3">
        <v>1.2265159547141484E-2</v>
      </c>
      <c r="AK470" s="3">
        <v>6.0606060606060667E-3</v>
      </c>
      <c r="AL470" s="3">
        <v>1.4825634477628473E-3</v>
      </c>
      <c r="AM470" s="3">
        <v>-4.9505870074133713E-3</v>
      </c>
      <c r="AN470" s="3">
        <v>6.8682944878549436E-3</v>
      </c>
    </row>
    <row r="471" spans="1:40" x14ac:dyDescent="0.3">
      <c r="A471" s="101">
        <v>44991</v>
      </c>
      <c r="B471" s="3">
        <v>7.0433603309064032E-3</v>
      </c>
      <c r="C471" s="3">
        <v>-2.7649915645236645E-4</v>
      </c>
      <c r="D471" s="3">
        <v>-3.0347276482502017E-2</v>
      </c>
      <c r="E471" s="3">
        <v>-5.8125700542388794E-3</v>
      </c>
      <c r="F471" s="3">
        <v>-3.2064985036340317E-2</v>
      </c>
      <c r="G471" s="3">
        <v>4.3285070475088894E-2</v>
      </c>
      <c r="H471" s="3">
        <v>-3.2117668650540195E-4</v>
      </c>
      <c r="I471" s="3">
        <v>-1.2614136581122147E-2</v>
      </c>
      <c r="J471" s="3">
        <v>-8.7883174841541373E-3</v>
      </c>
      <c r="K471" s="3">
        <v>-3.0347276482502017E-2</v>
      </c>
      <c r="L471" s="3">
        <v>7.6167392195603727E-4</v>
      </c>
      <c r="M471" s="3">
        <v>2.6538209180920258E-2</v>
      </c>
      <c r="N471" s="3">
        <v>-1.7044007794982722E-2</v>
      </c>
      <c r="O471" s="3">
        <v>-2.7649915645236645E-4</v>
      </c>
      <c r="P471" s="3">
        <v>0</v>
      </c>
      <c r="Q471" s="3">
        <v>-3.2851511169513796E-3</v>
      </c>
      <c r="R471" s="3">
        <v>-1.1076411592145867E-4</v>
      </c>
      <c r="S471" s="3">
        <v>6.3254744105807935E-3</v>
      </c>
      <c r="T471" s="3">
        <v>9.192537851478012E-3</v>
      </c>
      <c r="U471" s="3">
        <v>1.3203185993111257E-2</v>
      </c>
      <c r="V471" s="3">
        <v>-1.2578616352201257E-3</v>
      </c>
      <c r="W471" s="3">
        <v>2.7298503032873692E-4</v>
      </c>
      <c r="X471" s="3">
        <v>-3.4695073604080855E-2</v>
      </c>
      <c r="Y471" s="3">
        <v>-6.1608030284786876E-3</v>
      </c>
      <c r="Z471" s="3">
        <v>-2.8645833333333301E-2</v>
      </c>
      <c r="AA471" s="3">
        <v>8.0345077173695836E-2</v>
      </c>
      <c r="AB471" s="3">
        <v>5.0366986408227612E-3</v>
      </c>
      <c r="AC471" s="3">
        <v>7.9793929498884631E-3</v>
      </c>
      <c r="AD471" s="3">
        <v>-8.4387644040295941E-3</v>
      </c>
      <c r="AE471" s="3">
        <v>3.7252533333333421E-2</v>
      </c>
      <c r="AF471" s="3">
        <v>-2.2869220612829848E-2</v>
      </c>
      <c r="AG471" s="3">
        <v>-4.5852855356397215E-3</v>
      </c>
      <c r="AH471" s="3">
        <v>1.8181637616359474E-2</v>
      </c>
      <c r="AI471" s="3">
        <v>9.824855379849019E-3</v>
      </c>
      <c r="AJ471" s="3">
        <v>8.3023042501419158E-3</v>
      </c>
      <c r="AK471" s="3">
        <v>0</v>
      </c>
      <c r="AL471" s="3">
        <v>3.0277872973363978E-3</v>
      </c>
      <c r="AM471" s="3">
        <v>1.2464902835925098E-2</v>
      </c>
      <c r="AN471" s="3">
        <v>2.5592677375868712E-2</v>
      </c>
    </row>
    <row r="472" spans="1:40" x14ac:dyDescent="0.3">
      <c r="A472" s="101">
        <v>44992</v>
      </c>
      <c r="B472" s="3">
        <v>-3.0519772147197241E-2</v>
      </c>
      <c r="C472" s="3">
        <v>-1.8320057409310423E-2</v>
      </c>
      <c r="D472" s="3">
        <v>-9.8014750614590952E-3</v>
      </c>
      <c r="E472" s="3">
        <v>-7.2314045660617048E-3</v>
      </c>
      <c r="F472" s="3">
        <v>-7.9505300353356883E-3</v>
      </c>
      <c r="G472" s="3">
        <v>-2.0068843871742331E-2</v>
      </c>
      <c r="H472" s="3">
        <v>-5.5207684490050776E-3</v>
      </c>
      <c r="I472" s="3">
        <v>-8.370087737000485E-3</v>
      </c>
      <c r="J472" s="3">
        <v>3.3101669440776756E-3</v>
      </c>
      <c r="K472" s="3">
        <v>-9.8014750614590952E-3</v>
      </c>
      <c r="L472" s="3">
        <v>-5.8125700542388794E-3</v>
      </c>
      <c r="M472" s="3">
        <v>1.8302905932345878E-3</v>
      </c>
      <c r="N472" s="3">
        <v>3.0233327674136609E-3</v>
      </c>
      <c r="O472" s="3">
        <v>-1.8320057409310423E-2</v>
      </c>
      <c r="P472" s="3">
        <v>-5.2996736526835057E-3</v>
      </c>
      <c r="Q472" s="3">
        <v>-5.9327620303230057E-3</v>
      </c>
      <c r="R472" s="3">
        <v>0</v>
      </c>
      <c r="S472" s="3">
        <v>1.5711425714285725E-2</v>
      </c>
      <c r="T472" s="3">
        <v>2.0896552209446247E-2</v>
      </c>
      <c r="U472" s="3">
        <v>2.2663456732675926E-3</v>
      </c>
      <c r="V472" s="3">
        <v>2.0151133501259445E-2</v>
      </c>
      <c r="W472" s="3">
        <v>-1.4515685219228072E-2</v>
      </c>
      <c r="X472" s="3">
        <v>8.695623188405787E-3</v>
      </c>
      <c r="Y472" s="3">
        <v>-3.2817752071825574E-3</v>
      </c>
      <c r="Z472" s="3">
        <v>-4.0214477211796225E-2</v>
      </c>
      <c r="AA472" s="3">
        <v>7.0798589974675891E-3</v>
      </c>
      <c r="AB472" s="3">
        <v>1.9134415239700362E-2</v>
      </c>
      <c r="AC472" s="3">
        <v>2.8042421897981507E-2</v>
      </c>
      <c r="AD472" s="3">
        <v>4.496394954833012E-2</v>
      </c>
      <c r="AE472" s="3">
        <v>7.1673394580294494E-2</v>
      </c>
      <c r="AF472" s="3">
        <v>1.5425568577373788E-2</v>
      </c>
      <c r="AG472" s="3">
        <v>2.3869431485319524E-2</v>
      </c>
      <c r="AH472" s="3">
        <v>3.5714419032886927E-2</v>
      </c>
      <c r="AI472" s="3">
        <v>2.774960721268066E-2</v>
      </c>
      <c r="AJ472" s="3">
        <v>3.2119165210553739E-2</v>
      </c>
      <c r="AK472" s="3">
        <v>1.2048192771084348E-2</v>
      </c>
      <c r="AL472" s="3">
        <v>9.1581756074288877E-3</v>
      </c>
      <c r="AM472" s="3">
        <v>3.5164187599688451E-2</v>
      </c>
      <c r="AN472" s="3">
        <v>1.920273693027847E-3</v>
      </c>
    </row>
    <row r="473" spans="1:40" x14ac:dyDescent="0.3">
      <c r="A473" s="101">
        <v>44993</v>
      </c>
      <c r="B473" s="3">
        <v>4.4269483959143201E-2</v>
      </c>
      <c r="C473" s="3">
        <v>1.35211488293595E-2</v>
      </c>
      <c r="D473" s="3">
        <v>-1.0818455602348403E-2</v>
      </c>
      <c r="E473" s="3">
        <v>-8.5238511057959977E-3</v>
      </c>
      <c r="F473" s="3">
        <v>2.0035618878005344E-2</v>
      </c>
      <c r="G473" s="3">
        <v>-4.8315632540241453E-2</v>
      </c>
      <c r="H473" s="3">
        <v>-4.3514666420522699E-3</v>
      </c>
      <c r="I473" s="3">
        <v>1.599293647267867E-2</v>
      </c>
      <c r="J473" s="3">
        <v>4.1239254839816747E-3</v>
      </c>
      <c r="K473" s="3">
        <v>-1.0818455602348403E-2</v>
      </c>
      <c r="L473" s="3">
        <v>-7.2314045660617048E-3</v>
      </c>
      <c r="M473" s="3">
        <v>-3.0600593044060365E-2</v>
      </c>
      <c r="N473" s="3">
        <v>-7.0923756978984707E-4</v>
      </c>
      <c r="O473" s="3">
        <v>1.35211488293595E-2</v>
      </c>
      <c r="P473" s="3">
        <v>1.1475409836065622E-2</v>
      </c>
      <c r="Q473" s="3">
        <v>3.3156498673740055E-3</v>
      </c>
      <c r="R473" s="3">
        <v>-5.083623822310078E-2</v>
      </c>
      <c r="S473" s="3">
        <v>-2.3263128794351533E-3</v>
      </c>
      <c r="T473" s="3">
        <v>2.3967792162351294E-2</v>
      </c>
      <c r="U473" s="3">
        <v>-3.4906740110041211E-2</v>
      </c>
      <c r="V473" s="3">
        <v>2.4691358024691358E-3</v>
      </c>
      <c r="W473" s="3">
        <v>-4.5905121652055375E-2</v>
      </c>
      <c r="X473" s="3">
        <v>0</v>
      </c>
      <c r="Y473" s="3">
        <v>-2.2609175716824005E-2</v>
      </c>
      <c r="Z473" s="3">
        <v>-2.9329608938547479E-2</v>
      </c>
      <c r="AA473" s="3">
        <v>-5.0747545014500385E-3</v>
      </c>
      <c r="AB473" s="3">
        <v>-6.6495981639475609E-3</v>
      </c>
      <c r="AC473" s="3">
        <v>-8.7444313549794317E-3</v>
      </c>
      <c r="AD473" s="3">
        <v>-1.7555871583298997E-2</v>
      </c>
      <c r="AE473" s="3">
        <v>-5.5321322409440647E-2</v>
      </c>
      <c r="AF473" s="3">
        <v>-2.0953040660695232E-3</v>
      </c>
      <c r="AG473" s="3">
        <v>-4.4990182208990686E-3</v>
      </c>
      <c r="AH473" s="3">
        <v>3.5632273578698664E-2</v>
      </c>
      <c r="AI473" s="3">
        <v>-8.5610925823007764E-3</v>
      </c>
      <c r="AJ473" s="3">
        <v>-4.3121457809774328E-3</v>
      </c>
      <c r="AK473" s="3">
        <v>4.1666666666666706E-2</v>
      </c>
      <c r="AL473" s="3">
        <v>-4.2268691099477057E-3</v>
      </c>
      <c r="AM473" s="3">
        <v>-2.6415205490004371E-2</v>
      </c>
      <c r="AN473" s="3">
        <v>-1.7801181019978327E-2</v>
      </c>
    </row>
    <row r="474" spans="1:40" x14ac:dyDescent="0.3">
      <c r="A474" s="101">
        <v>44994</v>
      </c>
      <c r="B474" s="3">
        <v>1.2403899730338211E-2</v>
      </c>
      <c r="C474" s="3">
        <v>-2.7792152897275495E-3</v>
      </c>
      <c r="D474" s="3">
        <v>6.6543421828985979E-3</v>
      </c>
      <c r="E474" s="3">
        <v>2.1727171113339921E-2</v>
      </c>
      <c r="F474" s="3">
        <v>2.1824530772588391E-3</v>
      </c>
      <c r="G474" s="3">
        <v>2.5033245828281849E-3</v>
      </c>
      <c r="H474" s="3">
        <v>2.9798759047282526E-5</v>
      </c>
      <c r="I474" s="3">
        <v>-4.8098380056912507E-3</v>
      </c>
      <c r="J474" s="3">
        <v>-6.5712246933913136E-3</v>
      </c>
      <c r="K474" s="3">
        <v>6.6543421828985979E-3</v>
      </c>
      <c r="L474" s="3">
        <v>-8.5238511057959977E-3</v>
      </c>
      <c r="M474" s="3">
        <v>1.5783226954458721E-2</v>
      </c>
      <c r="N474" s="3">
        <v>-6.1213803573333244E-3</v>
      </c>
      <c r="O474" s="3">
        <v>-2.7792152897275495E-3</v>
      </c>
      <c r="P474" s="3">
        <v>4.0519043760129216E-3</v>
      </c>
      <c r="Q474" s="3">
        <v>1.6523463317911435E-2</v>
      </c>
      <c r="R474" s="3">
        <v>1.4119102011170484E-2</v>
      </c>
      <c r="S474" s="3">
        <v>0</v>
      </c>
      <c r="T474" s="3">
        <v>-7.3466770433397279E-3</v>
      </c>
      <c r="U474" s="3">
        <v>1.1129037763522658E-2</v>
      </c>
      <c r="V474" s="3">
        <v>-1.3546798029556651E-2</v>
      </c>
      <c r="W474" s="3">
        <v>-1.5380171676061613E-2</v>
      </c>
      <c r="X474" s="3">
        <v>-2.8729885883051491E-4</v>
      </c>
      <c r="Y474" s="3">
        <v>1.7367809292292008E-2</v>
      </c>
      <c r="Z474" s="3">
        <v>2.5899280575539526E-2</v>
      </c>
      <c r="AA474" s="3">
        <v>-1.4981813499042963E-2</v>
      </c>
      <c r="AB474" s="3">
        <v>-1.7775735865833104E-2</v>
      </c>
      <c r="AC474" s="3">
        <v>-2.4094820519776489E-2</v>
      </c>
      <c r="AD474" s="3">
        <v>-9.8108042174096712E-3</v>
      </c>
      <c r="AE474" s="3">
        <v>-3.6013852312747591E-2</v>
      </c>
      <c r="AF474" s="3">
        <v>-7.6113740424251092E-3</v>
      </c>
      <c r="AG474" s="3">
        <v>-1.2325801150369191E-3</v>
      </c>
      <c r="AH474" s="3">
        <v>-3.6626099979175056E-2</v>
      </c>
      <c r="AI474" s="3">
        <v>-3.0056455580478727E-2</v>
      </c>
      <c r="AJ474" s="3">
        <v>-2.872815027825994E-2</v>
      </c>
      <c r="AK474" s="3">
        <v>-1.7142857142857158E-2</v>
      </c>
      <c r="AL474" s="3">
        <v>-2.0996217723107245E-2</v>
      </c>
      <c r="AM474" s="3">
        <v>-1.8035507332069448E-2</v>
      </c>
      <c r="AN474" s="3">
        <v>-1.9864565452539795E-2</v>
      </c>
    </row>
    <row r="475" spans="1:40" x14ac:dyDescent="0.3">
      <c r="A475" s="101">
        <v>44995</v>
      </c>
      <c r="B475" s="3">
        <v>-1.7834988446771938E-2</v>
      </c>
      <c r="C475" s="3">
        <v>9.5455977434867369E-3</v>
      </c>
      <c r="D475" s="3">
        <v>1.1301298442841152E-2</v>
      </c>
      <c r="E475" s="3">
        <v>1.1894761258571879E-2</v>
      </c>
      <c r="F475" s="3">
        <v>1.7857142857142856E-2</v>
      </c>
      <c r="G475" s="3">
        <v>-2.0545853234400401E-2</v>
      </c>
      <c r="H475" s="3">
        <v>9.8332974655252446E-4</v>
      </c>
      <c r="I475" s="3">
        <v>3.07557117750425E-3</v>
      </c>
      <c r="J475" s="3">
        <v>-2.5987154372102421E-3</v>
      </c>
      <c r="K475" s="3">
        <v>1.1301298442841152E-2</v>
      </c>
      <c r="L475" s="3">
        <v>2.1727171113339921E-2</v>
      </c>
      <c r="M475" s="3">
        <v>1.484227770970039E-2</v>
      </c>
      <c r="N475" s="3">
        <v>-1.7316817078611275E-2</v>
      </c>
      <c r="O475" s="3">
        <v>9.5455977434867369E-3</v>
      </c>
      <c r="P475" s="3">
        <v>-6.8603709902997244E-3</v>
      </c>
      <c r="Q475" s="3">
        <v>1.1053315994798439E-2</v>
      </c>
      <c r="R475" s="3">
        <v>-2.3932825960979214E-2</v>
      </c>
      <c r="S475" s="3">
        <v>0</v>
      </c>
      <c r="T475" s="3">
        <v>2.1342548066869194E-2</v>
      </c>
      <c r="U475" s="3">
        <v>1.5351165154909452E-2</v>
      </c>
      <c r="V475" s="3">
        <v>1.4981273408239701E-2</v>
      </c>
      <c r="W475" s="3">
        <v>-3.8019468644322763E-2</v>
      </c>
      <c r="X475" s="3">
        <v>-2.2707702710327508E-2</v>
      </c>
      <c r="Y475" s="3">
        <v>-1.780719725418084E-2</v>
      </c>
      <c r="Z475" s="3">
        <v>-1.4025245441795182E-2</v>
      </c>
      <c r="AA475" s="3">
        <v>6.4866005628083333E-3</v>
      </c>
      <c r="AB475" s="3">
        <v>-1.7181679813135075E-3</v>
      </c>
      <c r="AC475" s="3">
        <v>1.1198079640231682E-2</v>
      </c>
      <c r="AD475" s="3">
        <v>1.4153889686614786E-3</v>
      </c>
      <c r="AE475" s="3">
        <v>2.3150076390597305E-3</v>
      </c>
      <c r="AF475" s="3">
        <v>-1.0843753388768031E-2</v>
      </c>
      <c r="AG475" s="3">
        <v>3.2908269556077849E-3</v>
      </c>
      <c r="AH475" s="3">
        <v>-2.1889442003350024E-2</v>
      </c>
      <c r="AI475" s="3">
        <v>-4.3657401682284502E-3</v>
      </c>
      <c r="AJ475" s="3">
        <v>-7.7288216569615991E-3</v>
      </c>
      <c r="AK475" s="3">
        <v>2.3255813953488393E-2</v>
      </c>
      <c r="AL475" s="3">
        <v>7.5223395348064737E-3</v>
      </c>
      <c r="AM475" s="3">
        <v>-2.9899223469917772E-3</v>
      </c>
      <c r="AN475" s="3">
        <v>3.4509732167790695E-3</v>
      </c>
    </row>
    <row r="476" spans="1:40" x14ac:dyDescent="0.3">
      <c r="A476" s="101">
        <v>44998</v>
      </c>
      <c r="B476" s="3">
        <v>2.6527727718290858E-2</v>
      </c>
      <c r="C476" s="3">
        <v>-1.9324802087921846E-3</v>
      </c>
      <c r="D476" s="3">
        <v>1.2074575471330803E-2</v>
      </c>
      <c r="E476" s="3">
        <v>-1.7763996421362254E-3</v>
      </c>
      <c r="F476" s="3">
        <v>3.4231921266581087E-3</v>
      </c>
      <c r="G476" s="3">
        <v>3.7123266507528658E-3</v>
      </c>
      <c r="H476" s="3">
        <v>-2.434409854067651E-3</v>
      </c>
      <c r="I476" s="3">
        <v>0</v>
      </c>
      <c r="J476" s="3">
        <v>-8.6451816788220091E-3</v>
      </c>
      <c r="K476" s="3">
        <v>1.2074575471330803E-2</v>
      </c>
      <c r="L476" s="3">
        <v>1.1894761258571879E-2</v>
      </c>
      <c r="M476" s="3">
        <v>-2.3308867610094635E-2</v>
      </c>
      <c r="N476" s="3">
        <v>2.7432147422368856E-2</v>
      </c>
      <c r="O476" s="3">
        <v>-1.9324802087921846E-3</v>
      </c>
      <c r="P476" s="3">
        <v>5.2823646776770945E-3</v>
      </c>
      <c r="Q476" s="3">
        <v>9.0032154340836008E-3</v>
      </c>
      <c r="R476" s="3">
        <v>7.8981254768802998E-3</v>
      </c>
      <c r="S476" s="3">
        <v>0</v>
      </c>
      <c r="T476" s="3">
        <v>1.3650185372430016E-2</v>
      </c>
      <c r="U476" s="3">
        <v>3.5515575017607014E-2</v>
      </c>
      <c r="V476" s="3">
        <v>-3.6900369003690036E-3</v>
      </c>
      <c r="W476" s="3">
        <v>4.9019871825025469E-3</v>
      </c>
      <c r="X476" s="3">
        <v>0</v>
      </c>
      <c r="Y476" s="3">
        <v>1.2361470253565271E-2</v>
      </c>
      <c r="Z476" s="3">
        <v>1.1379800853485073E-2</v>
      </c>
      <c r="AA476" s="3">
        <v>5.6113412596778843E-2</v>
      </c>
      <c r="AB476" s="3">
        <v>2.3693477694439538E-2</v>
      </c>
      <c r="AC476" s="3">
        <v>4.0204548626963259E-2</v>
      </c>
      <c r="AD476" s="3">
        <v>6.007044302936795E-3</v>
      </c>
      <c r="AE476" s="3">
        <v>7.1917793436091171E-2</v>
      </c>
      <c r="AF476" s="3">
        <v>8.5562060858836043E-3</v>
      </c>
      <c r="AG476" s="3">
        <v>1.6400574678170415E-3</v>
      </c>
      <c r="AH476" s="3">
        <v>2.2379312670117394E-2</v>
      </c>
      <c r="AI476" s="3">
        <v>6.7922376007644178E-3</v>
      </c>
      <c r="AJ476" s="3">
        <v>6.1412741955928427E-3</v>
      </c>
      <c r="AK476" s="3">
        <v>3.9772727272727307E-2</v>
      </c>
      <c r="AL476" s="3">
        <v>2.0913326671926021E-2</v>
      </c>
      <c r="AM476" s="3">
        <v>4.8276967230896743E-2</v>
      </c>
      <c r="AN476" s="3">
        <v>2.9264484339257522E-2</v>
      </c>
    </row>
    <row r="477" spans="1:40" x14ac:dyDescent="0.3">
      <c r="A477" s="101">
        <v>44999</v>
      </c>
      <c r="B477" s="3">
        <v>3.1225941796702041E-2</v>
      </c>
      <c r="C477" s="3">
        <v>-2.8352503215305835E-3</v>
      </c>
      <c r="D477" s="3">
        <v>3.5644319139448363E-2</v>
      </c>
      <c r="E477" s="3">
        <v>-5.4145555665484754E-3</v>
      </c>
      <c r="F477" s="3">
        <v>-2.4733475479744138E-2</v>
      </c>
      <c r="G477" s="3">
        <v>4.7056712320186982E-2</v>
      </c>
      <c r="H477" s="3">
        <v>2.5928725845169418E-3</v>
      </c>
      <c r="I477" s="3">
        <v>1.1826544021025105E-2</v>
      </c>
      <c r="J477" s="3">
        <v>-6.4508651732640568E-3</v>
      </c>
      <c r="K477" s="3">
        <v>3.5644319139448363E-2</v>
      </c>
      <c r="L477" s="3">
        <v>-1.7763996421362254E-3</v>
      </c>
      <c r="M477" s="3">
        <v>1.1230673316299952E-2</v>
      </c>
      <c r="N477" s="3">
        <v>-1.1493059751630673E-3</v>
      </c>
      <c r="O477" s="3">
        <v>-2.8352503215305835E-3</v>
      </c>
      <c r="P477" s="3">
        <v>4.8504850444624908E-3</v>
      </c>
      <c r="Q477" s="3">
        <v>-1.0834926704907584E-2</v>
      </c>
      <c r="R477" s="3">
        <v>4.5613918128655333E-3</v>
      </c>
      <c r="S477" s="3">
        <v>-3.0089765155581264E-2</v>
      </c>
      <c r="T477" s="3">
        <v>-1.2136391948914665E-2</v>
      </c>
      <c r="U477" s="3">
        <v>-1.5151488020702141E-2</v>
      </c>
      <c r="V477" s="3">
        <v>-1.1111111111111112E-2</v>
      </c>
      <c r="W477" s="3">
        <v>2.6219523572874732E-2</v>
      </c>
      <c r="X477" s="3">
        <v>-8.5294411764704897E-3</v>
      </c>
      <c r="Y477" s="3">
        <v>4.8101382072767065E-3</v>
      </c>
      <c r="Z477" s="3">
        <v>1.4064697609001105E-3</v>
      </c>
      <c r="AA477" s="3">
        <v>-4.7308972862817378E-2</v>
      </c>
      <c r="AB477" s="3">
        <v>-1.8941874572572279E-2</v>
      </c>
      <c r="AC477" s="3">
        <v>-8.7648168316934987E-3</v>
      </c>
      <c r="AD477" s="3">
        <v>-3.6880905229190054E-2</v>
      </c>
      <c r="AE477" s="3">
        <v>-5.3644351100211159E-2</v>
      </c>
      <c r="AF477" s="3">
        <v>-2.3329999370308937E-2</v>
      </c>
      <c r="AG477" s="3">
        <v>-2.0466639377814164E-2</v>
      </c>
      <c r="AH477" s="3">
        <v>-4.3778767474321495E-2</v>
      </c>
      <c r="AI477" s="3">
        <v>-2.4423546753358269E-2</v>
      </c>
      <c r="AJ477" s="3">
        <v>-1.5185329104796837E-2</v>
      </c>
      <c r="AK477" s="3">
        <v>0</v>
      </c>
      <c r="AL477" s="3">
        <v>-1.7957762946791338E-2</v>
      </c>
      <c r="AM477" s="3">
        <v>-2.8991075351213303E-2</v>
      </c>
      <c r="AN477" s="3">
        <v>-2.5492089686903335E-2</v>
      </c>
    </row>
    <row r="478" spans="1:40" x14ac:dyDescent="0.3">
      <c r="A478" s="101">
        <v>45000</v>
      </c>
      <c r="B478" s="3">
        <v>-1.6408082031887553E-2</v>
      </c>
      <c r="C478" s="3">
        <v>-5.2704164401809576E-3</v>
      </c>
      <c r="D478" s="3">
        <v>-5.2903306001771531E-2</v>
      </c>
      <c r="E478" s="3">
        <v>-1.1611570026272796E-2</v>
      </c>
      <c r="F478" s="3">
        <v>-1.9676432006996064E-2</v>
      </c>
      <c r="G478" s="3">
        <v>-1.5576469270219686E-2</v>
      </c>
      <c r="H478" s="3">
        <v>2.7581371660636736E-3</v>
      </c>
      <c r="I478" s="3">
        <v>1.2554069264069182E-2</v>
      </c>
      <c r="J478" s="3">
        <v>-3.607018901526796E-3</v>
      </c>
      <c r="K478" s="3">
        <v>-5.2903306001771531E-2</v>
      </c>
      <c r="L478" s="3">
        <v>-5.4145555665484754E-3</v>
      </c>
      <c r="M478" s="3">
        <v>-2.3831605186682044E-2</v>
      </c>
      <c r="N478" s="3">
        <v>1.7436660892990063E-2</v>
      </c>
      <c r="O478" s="3">
        <v>-5.2704164401809576E-3</v>
      </c>
      <c r="P478" s="3">
        <v>1.2067537728578518E-2</v>
      </c>
      <c r="Q478" s="3">
        <v>-7.0876288659793814E-3</v>
      </c>
      <c r="R478" s="3">
        <v>4.2030516265345361E-2</v>
      </c>
      <c r="S478" s="3">
        <v>1.0377892732558156E-2</v>
      </c>
      <c r="T478" s="3">
        <v>7.7415519266762749E-3</v>
      </c>
      <c r="U478" s="3">
        <v>7.9720279720278762E-3</v>
      </c>
      <c r="V478" s="3">
        <v>1.1235955056179775E-2</v>
      </c>
      <c r="W478" s="3">
        <v>5.9418024234929897E-4</v>
      </c>
      <c r="X478" s="3">
        <v>-1.51289829465733E-2</v>
      </c>
      <c r="Y478" s="3">
        <v>-1.5465606241461213E-3</v>
      </c>
      <c r="Z478" s="3">
        <v>1.4044943820224668E-2</v>
      </c>
      <c r="AA478" s="3">
        <v>-4.1694892983603918E-2</v>
      </c>
      <c r="AB478" s="3">
        <v>-1.8450890801777489E-2</v>
      </c>
      <c r="AC478" s="3">
        <v>-3.6835719234570762E-2</v>
      </c>
      <c r="AD478" s="3">
        <v>-2.1152376108757861E-2</v>
      </c>
      <c r="AE478" s="3">
        <v>-6.3123190787708505E-2</v>
      </c>
      <c r="AF478" s="3">
        <v>-2.6872952753749284E-2</v>
      </c>
      <c r="AG478" s="3">
        <v>-6.2682407020476852E-3</v>
      </c>
      <c r="AH478" s="3">
        <v>-2.2289216899573978E-2</v>
      </c>
      <c r="AI478" s="3">
        <v>-3.2563111682807303E-2</v>
      </c>
      <c r="AJ478" s="3">
        <v>-2.9780742810068928E-2</v>
      </c>
      <c r="AK478" s="3">
        <v>2.1857923497267777E-2</v>
      </c>
      <c r="AL478" s="3">
        <v>-2.7555127069320076E-2</v>
      </c>
      <c r="AM478" s="3">
        <v>-3.104034772127337E-2</v>
      </c>
      <c r="AN478" s="3">
        <v>-3.2300120240777969E-2</v>
      </c>
    </row>
    <row r="479" spans="1:40" x14ac:dyDescent="0.3">
      <c r="A479" s="101">
        <v>45001</v>
      </c>
      <c r="B479" s="3">
        <v>7.4309049660249487E-3</v>
      </c>
      <c r="C479" s="3">
        <v>1.4152266690036866E-2</v>
      </c>
      <c r="D479" s="3">
        <v>4.8296623664266522E-3</v>
      </c>
      <c r="E479" s="3">
        <v>-1.0053132235775681E-2</v>
      </c>
      <c r="F479" s="3">
        <v>2.1855486173059768E-2</v>
      </c>
      <c r="G479" s="3">
        <v>-2.1010769279415285E-2</v>
      </c>
      <c r="H479" s="3">
        <v>-1.4379378124876792E-3</v>
      </c>
      <c r="I479" s="3">
        <v>8.5510905750789477E-4</v>
      </c>
      <c r="J479" s="3">
        <v>-3.982149319438558E-3</v>
      </c>
      <c r="K479" s="3">
        <v>4.8296623664266522E-3</v>
      </c>
      <c r="L479" s="3">
        <v>-1.1611570026272796E-2</v>
      </c>
      <c r="M479" s="3">
        <v>-1.5169471798280928E-2</v>
      </c>
      <c r="N479" s="3">
        <v>-2.7751153399334115E-2</v>
      </c>
      <c r="O479" s="3">
        <v>1.4152266690036866E-2</v>
      </c>
      <c r="P479" s="3">
        <v>1.6295707472178067E-2</v>
      </c>
      <c r="Q479" s="3">
        <v>3.3095392602206362E-2</v>
      </c>
      <c r="R479" s="3">
        <v>-3.7318391061452509E-2</v>
      </c>
      <c r="S479" s="3">
        <v>-7.3941799816770364E-3</v>
      </c>
      <c r="T479" s="3">
        <v>-5.5110553521867901E-3</v>
      </c>
      <c r="U479" s="3">
        <v>4.7176911336201961E-3</v>
      </c>
      <c r="V479" s="3">
        <v>4.9382716049382713E-2</v>
      </c>
      <c r="W479" s="3">
        <v>-1.6627104372711334E-2</v>
      </c>
      <c r="X479" s="3">
        <v>6.9879485847003528E-2</v>
      </c>
      <c r="Y479" s="3">
        <v>2.2127903261079333E-3</v>
      </c>
      <c r="Z479" s="3">
        <v>2.0775623268698112E-2</v>
      </c>
      <c r="AA479" s="3">
        <v>1.0996814651575622E-2</v>
      </c>
      <c r="AB479" s="3">
        <v>1.8042036060807946E-3</v>
      </c>
      <c r="AC479" s="3">
        <v>-1.5674249677462278E-3</v>
      </c>
      <c r="AD479" s="3">
        <v>-3.1669216802873254E-2</v>
      </c>
      <c r="AE479" s="3">
        <v>-1.8101097492648887E-2</v>
      </c>
      <c r="AF479" s="3">
        <v>-1.5062598522128419E-2</v>
      </c>
      <c r="AG479" s="3">
        <v>1.009247224169591E-2</v>
      </c>
      <c r="AH479" s="3">
        <v>-1.5403609494523617E-2</v>
      </c>
      <c r="AI479" s="3">
        <v>1.2395965537004696E-2</v>
      </c>
      <c r="AJ479" s="3">
        <v>7.9464518763945214E-3</v>
      </c>
      <c r="AK479" s="3">
        <v>2.13903743315507E-2</v>
      </c>
      <c r="AL479" s="3">
        <v>-5.1831153111007999E-3</v>
      </c>
      <c r="AM479" s="3">
        <v>-1.6831849868355956E-2</v>
      </c>
      <c r="AN479" s="3">
        <v>-6.1194349716439328E-3</v>
      </c>
    </row>
    <row r="480" spans="1:40" x14ac:dyDescent="0.3">
      <c r="A480" s="101">
        <v>45002</v>
      </c>
      <c r="B480" s="3">
        <v>1.6559345524977055E-3</v>
      </c>
      <c r="C480" s="3">
        <v>-2.8184886545157264E-3</v>
      </c>
      <c r="D480" s="3">
        <v>3.7698544263757524E-3</v>
      </c>
      <c r="E480" s="3">
        <v>-2.1010845241203519E-2</v>
      </c>
      <c r="F480" s="3">
        <v>1.1348756001745963E-2</v>
      </c>
      <c r="G480" s="3">
        <v>-3.4842124550789853E-2</v>
      </c>
      <c r="H480" s="3">
        <v>-5.0202129627174678E-4</v>
      </c>
      <c r="I480" s="3">
        <v>5.980307560871403E-3</v>
      </c>
      <c r="J480" s="3">
        <v>1.1024913562068148E-2</v>
      </c>
      <c r="K480" s="3">
        <v>3.7698544263757524E-3</v>
      </c>
      <c r="L480" s="3">
        <v>-1.0053132235775681E-2</v>
      </c>
      <c r="M480" s="3">
        <v>-2.0938604595393612E-2</v>
      </c>
      <c r="N480" s="3">
        <v>5.279133763795023E-3</v>
      </c>
      <c r="O480" s="3">
        <v>-2.8184886545157264E-3</v>
      </c>
      <c r="P480" s="3">
        <v>5.1622956589753591E-2</v>
      </c>
      <c r="Q480" s="3">
        <v>-3.7688442211055275E-3</v>
      </c>
      <c r="R480" s="3">
        <v>2.1355570039202867E-2</v>
      </c>
      <c r="S480" s="3">
        <v>1.9678229855072473E-2</v>
      </c>
      <c r="T480" s="3">
        <v>-3.5936171888096974E-2</v>
      </c>
      <c r="U480" s="3">
        <v>8.1479901589288587E-3</v>
      </c>
      <c r="V480" s="3">
        <v>1.2941176470588235E-2</v>
      </c>
      <c r="W480" s="3">
        <v>-2.717386717206402E-2</v>
      </c>
      <c r="X480" s="3">
        <v>1.1261204954954857E-2</v>
      </c>
      <c r="Y480" s="3">
        <v>5.7407744807821898E-3</v>
      </c>
      <c r="Z480" s="3">
        <v>-2.7137042062415823E-3</v>
      </c>
      <c r="AA480" s="3">
        <v>-3.004944557447697E-2</v>
      </c>
      <c r="AB480" s="3">
        <v>-1.1909144311545704E-2</v>
      </c>
      <c r="AC480" s="3">
        <v>-2.7808701876770544E-3</v>
      </c>
      <c r="AD480" s="3">
        <v>2.6933471205662202E-3</v>
      </c>
      <c r="AE480" s="3">
        <v>-2.0739097392491263E-2</v>
      </c>
      <c r="AF480" s="3">
        <v>1.7841809645874656E-2</v>
      </c>
      <c r="AG480" s="3">
        <v>8.7427144046628175E-3</v>
      </c>
      <c r="AH480" s="3">
        <v>2.252837045398939E-2</v>
      </c>
      <c r="AI480" s="3">
        <v>3.7536781365760056E-3</v>
      </c>
      <c r="AJ480" s="3">
        <v>-9.5070405745926474E-3</v>
      </c>
      <c r="AK480" s="3">
        <v>5.2356020942408424E-3</v>
      </c>
      <c r="AL480" s="3">
        <v>-1.7986282724106045E-2</v>
      </c>
      <c r="AM480" s="3">
        <v>-1.7313237895566581E-2</v>
      </c>
      <c r="AN480" s="3">
        <v>-2.1066739762143932E-2</v>
      </c>
    </row>
    <row r="481" spans="1:40" x14ac:dyDescent="0.3">
      <c r="A481" s="101">
        <v>45006</v>
      </c>
      <c r="B481" s="3">
        <v>-4.8842775801293613E-2</v>
      </c>
      <c r="C481" s="3">
        <v>-1.7509989855561316E-2</v>
      </c>
      <c r="D481" s="3">
        <v>-9.8101864960788415E-3</v>
      </c>
      <c r="E481" s="3">
        <v>2.265367411835507E-3</v>
      </c>
      <c r="F481" s="3">
        <v>1.7263703064307294E-3</v>
      </c>
      <c r="G481" s="3">
        <v>-3.5184860314649243E-2</v>
      </c>
      <c r="H481" s="3">
        <v>7.5671460293958944E-4</v>
      </c>
      <c r="I481" s="3">
        <v>2.1231848035323372E-3</v>
      </c>
      <c r="J481" s="3">
        <v>-3.9544603215432165E-3</v>
      </c>
      <c r="K481" s="3">
        <v>-9.8101864960788415E-3</v>
      </c>
      <c r="L481" s="3">
        <v>-2.1010845241203519E-2</v>
      </c>
      <c r="M481" s="3">
        <v>-4.670550639134778E-3</v>
      </c>
      <c r="N481" s="3">
        <v>-3.2932354836357272E-3</v>
      </c>
      <c r="O481" s="3">
        <v>-1.7509989855561316E-2</v>
      </c>
      <c r="P481" s="3">
        <v>-1.5991075343662144E-2</v>
      </c>
      <c r="Q481" s="3">
        <v>-1.0088272383354351E-2</v>
      </c>
      <c r="R481" s="3">
        <v>-1.0227295454545461E-2</v>
      </c>
      <c r="S481" s="3">
        <v>-1.3613243863968777E-2</v>
      </c>
      <c r="T481" s="3">
        <v>1.0625326598153746E-2</v>
      </c>
      <c r="U481" s="3">
        <v>1.9726054794520644E-2</v>
      </c>
      <c r="V481" s="3">
        <v>5.8072009291521487E-3</v>
      </c>
      <c r="W481" s="3">
        <v>1.303531969436723E-2</v>
      </c>
      <c r="X481" s="3">
        <v>-2.2271159369217182E-3</v>
      </c>
      <c r="Y481" s="3">
        <v>2.2686645708890254E-3</v>
      </c>
      <c r="Z481" s="3">
        <v>5.4421768707483041E-3</v>
      </c>
      <c r="AA481" s="3">
        <v>-4.8328085973335065E-2</v>
      </c>
      <c r="AB481" s="3">
        <v>-2.5515892675185049E-2</v>
      </c>
      <c r="AC481" s="3">
        <v>-2.640217220885923E-2</v>
      </c>
      <c r="AD481" s="3">
        <v>-7.6743848150815329E-4</v>
      </c>
      <c r="AE481" s="3">
        <v>6.187894477739108E-3</v>
      </c>
      <c r="AF481" s="3">
        <v>-8.3453289559084305E-4</v>
      </c>
      <c r="AG481" s="3">
        <v>-1.8984729673957937E-2</v>
      </c>
      <c r="AH481" s="3">
        <v>-3.3047851544847927E-2</v>
      </c>
      <c r="AI481" s="3">
        <v>-2.1725567033460687E-2</v>
      </c>
      <c r="AJ481" s="3">
        <v>-2.4736572853695571E-2</v>
      </c>
      <c r="AK481" s="3">
        <v>-0.125</v>
      </c>
      <c r="AL481" s="3">
        <v>-3.1445327514565441E-2</v>
      </c>
      <c r="AM481" s="3">
        <v>-2.2142308894257723E-2</v>
      </c>
      <c r="AN481" s="3">
        <v>-2.1613947307368191E-2</v>
      </c>
    </row>
    <row r="482" spans="1:40" x14ac:dyDescent="0.3">
      <c r="A482" s="101">
        <v>45007</v>
      </c>
      <c r="B482" s="3">
        <v>4.4240289248361269E-3</v>
      </c>
      <c r="C482" s="3">
        <v>9.9635973472277685E-3</v>
      </c>
      <c r="D482" s="3">
        <v>-4.4714641754905176E-3</v>
      </c>
      <c r="E482" s="3">
        <v>2.355456728849533E-2</v>
      </c>
      <c r="F482" s="3">
        <v>3.0590262817750971E-2</v>
      </c>
      <c r="G482" s="3">
        <v>-1.6692697318079708E-2</v>
      </c>
      <c r="H482" s="3">
        <v>-4.9033689611791961E-3</v>
      </c>
      <c r="I482" s="3">
        <v>0</v>
      </c>
      <c r="J482" s="3">
        <v>1.1308942923327341E-2</v>
      </c>
      <c r="K482" s="3">
        <v>-4.4714641754905176E-3</v>
      </c>
      <c r="L482" s="3">
        <v>2.265367411835507E-3</v>
      </c>
      <c r="M482" s="3">
        <v>-1.0866954266882903E-2</v>
      </c>
      <c r="N482" s="3">
        <v>2.5629531372668414E-2</v>
      </c>
      <c r="O482" s="3">
        <v>9.9635973472277685E-3</v>
      </c>
      <c r="P482" s="3">
        <v>-5.2909676980713244E-3</v>
      </c>
      <c r="Q482" s="3">
        <v>2.038216560509554E-2</v>
      </c>
      <c r="R482" s="3">
        <v>5.740528260402486E-3</v>
      </c>
      <c r="S482" s="3">
        <v>0</v>
      </c>
      <c r="T482" s="3">
        <v>1.4477783522923022E-2</v>
      </c>
      <c r="U482" s="3">
        <v>-2.6867812281897432E-3</v>
      </c>
      <c r="V482" s="3">
        <v>-1.5011547344110854E-2</v>
      </c>
      <c r="W482" s="3">
        <v>5.2084262637043782E-3</v>
      </c>
      <c r="X482" s="3">
        <v>0</v>
      </c>
      <c r="Y482" s="3">
        <v>7.0822572314851433E-3</v>
      </c>
      <c r="Z482" s="3">
        <v>-8.1190798376183509E-3</v>
      </c>
      <c r="AA482" s="3">
        <v>1.1291810957497834E-2</v>
      </c>
      <c r="AB482" s="3">
        <v>1.1523451910619112E-2</v>
      </c>
      <c r="AC482" s="3">
        <v>-1.0717952161943715E-2</v>
      </c>
      <c r="AD482" s="3">
        <v>-1.3824891430606525E-2</v>
      </c>
      <c r="AE482" s="3">
        <v>-1.6197445202185697E-2</v>
      </c>
      <c r="AF482" s="3">
        <v>4.1770812035916106E-3</v>
      </c>
      <c r="AG482" s="3">
        <v>-2.5242322254943102E-3</v>
      </c>
      <c r="AH482" s="3">
        <v>1.2658231089572218E-2</v>
      </c>
      <c r="AI482" s="3">
        <v>-1.0375859196197032E-2</v>
      </c>
      <c r="AJ482" s="3">
        <v>4.800566001669028E-4</v>
      </c>
      <c r="AK482" s="3">
        <v>0</v>
      </c>
      <c r="AL482" s="3">
        <v>-1.0955596381517071E-2</v>
      </c>
      <c r="AM482" s="3">
        <v>-1.1206879310344807E-2</v>
      </c>
      <c r="AN482" s="3">
        <v>-2.2133641248804144E-3</v>
      </c>
    </row>
    <row r="483" spans="1:40" x14ac:dyDescent="0.3">
      <c r="A483" s="101">
        <v>45008</v>
      </c>
      <c r="B483" s="3">
        <v>5.8203402265441439E-3</v>
      </c>
      <c r="C483" s="3">
        <v>-1.8896787370255394E-2</v>
      </c>
      <c r="D483" s="3">
        <v>-1.8676742984234166E-2</v>
      </c>
      <c r="E483" s="3">
        <v>-1.0653908904260052E-2</v>
      </c>
      <c r="F483" s="3">
        <v>-1.7558528428093644E-2</v>
      </c>
      <c r="G483" s="3">
        <v>6.3178102825807436E-3</v>
      </c>
      <c r="H483" s="3">
        <v>-1.3604629555892512E-4</v>
      </c>
      <c r="I483" s="3">
        <v>-1.2288177966101701E-2</v>
      </c>
      <c r="J483" s="3">
        <v>-9.1600391572935341E-3</v>
      </c>
      <c r="K483" s="3">
        <v>-1.8676742984234166E-2</v>
      </c>
      <c r="L483" s="3">
        <v>2.355456728849533E-2</v>
      </c>
      <c r="M483" s="3">
        <v>9.9877655427666129E-4</v>
      </c>
      <c r="N483" s="3">
        <v>3.2999573931207241E-2</v>
      </c>
      <c r="O483" s="3">
        <v>-1.8896787370255394E-2</v>
      </c>
      <c r="P483" s="3">
        <v>1.5957446808510568E-2</v>
      </c>
      <c r="Q483" s="3">
        <v>-8.7390761548064924E-3</v>
      </c>
      <c r="R483" s="3">
        <v>-3.1506872865453721E-2</v>
      </c>
      <c r="S483" s="3">
        <v>0</v>
      </c>
      <c r="T483" s="3">
        <v>-8.4947331210540012E-4</v>
      </c>
      <c r="U483" s="3">
        <v>-2.2898438116876938E-3</v>
      </c>
      <c r="V483" s="3">
        <v>-9.3786635404454859E-3</v>
      </c>
      <c r="W483" s="3">
        <v>1.3715209645770901E-2</v>
      </c>
      <c r="X483" s="3">
        <v>-2.3437500000000094E-2</v>
      </c>
      <c r="Y483" s="3">
        <v>1.2615131503704176E-2</v>
      </c>
      <c r="Z483" s="3">
        <v>6.8212824010913812E-3</v>
      </c>
      <c r="AA483" s="3">
        <v>3.5888358686081388E-2</v>
      </c>
      <c r="AB483" s="3">
        <v>1.6342610823987979E-2</v>
      </c>
      <c r="AC483" s="3">
        <v>3.9693938730241971E-3</v>
      </c>
      <c r="AD483" s="3">
        <v>1.129279871944174E-2</v>
      </c>
      <c r="AE483" s="3">
        <v>2.5532672556212874E-2</v>
      </c>
      <c r="AF483" s="3">
        <v>4.9916933155578257E-3</v>
      </c>
      <c r="AG483" s="3">
        <v>2.9524252615952783E-3</v>
      </c>
      <c r="AH483" s="3">
        <v>1.3749965545746579E-2</v>
      </c>
      <c r="AI483" s="3">
        <v>-1.0484721778717706E-2</v>
      </c>
      <c r="AJ483" s="3">
        <v>1.9593824801236254E-2</v>
      </c>
      <c r="AK483" s="3">
        <v>4.7619047619047665E-2</v>
      </c>
      <c r="AL483" s="3">
        <v>1.4890021457221694E-2</v>
      </c>
      <c r="AM483" s="3">
        <v>1.8395777069530238E-2</v>
      </c>
      <c r="AN483" s="3">
        <v>3.1524455348442393E-2</v>
      </c>
    </row>
    <row r="484" spans="1:40" x14ac:dyDescent="0.3">
      <c r="A484" s="101">
        <v>45009</v>
      </c>
      <c r="B484" s="3">
        <v>-1.1104181592970537E-2</v>
      </c>
      <c r="C484" s="3">
        <v>-7.2935880293847266E-3</v>
      </c>
      <c r="D484" s="3">
        <v>-1.1172260992945453E-2</v>
      </c>
      <c r="E484" s="3">
        <v>-2.2633850076152543E-2</v>
      </c>
      <c r="F484" s="3">
        <v>2.1276595744680851E-2</v>
      </c>
      <c r="G484" s="3">
        <v>-6.292535583388556E-2</v>
      </c>
      <c r="H484" s="3">
        <v>8.0975153238840121E-4</v>
      </c>
      <c r="I484" s="3">
        <v>3.861046926685725E-3</v>
      </c>
      <c r="J484" s="3">
        <v>1.0019247782329554E-2</v>
      </c>
      <c r="K484" s="3">
        <v>-1.1172260992945453E-2</v>
      </c>
      <c r="L484" s="3">
        <v>-1.0653908904260052E-2</v>
      </c>
      <c r="M484" s="3">
        <v>-2.5193265153404913E-2</v>
      </c>
      <c r="N484" s="3">
        <v>4.5263006113140616E-2</v>
      </c>
      <c r="O484" s="3">
        <v>-7.2935880293847266E-3</v>
      </c>
      <c r="P484" s="3">
        <v>1.121914734480222E-3</v>
      </c>
      <c r="Q484" s="3">
        <v>3.1486146095717885E-2</v>
      </c>
      <c r="R484" s="3">
        <v>1.9566290408594558E-2</v>
      </c>
      <c r="S484" s="3">
        <v>3.4870599423630806E-3</v>
      </c>
      <c r="T484" s="3">
        <v>2.3295340532301641E-2</v>
      </c>
      <c r="U484" s="3">
        <v>-1.3500742540839748E-2</v>
      </c>
      <c r="V484" s="3">
        <v>-2.1301775147928994E-2</v>
      </c>
      <c r="W484" s="3">
        <v>3.3674201560277083E-2</v>
      </c>
      <c r="X484" s="3">
        <v>1.4285714285714285E-2</v>
      </c>
      <c r="Y484" s="3">
        <v>-3.5800816722288343E-4</v>
      </c>
      <c r="Z484" s="3">
        <v>9.4850948509485489E-3</v>
      </c>
      <c r="AA484" s="3">
        <v>-3.6552318644998735E-2</v>
      </c>
      <c r="AB484" s="3">
        <v>-2.9988377086133937E-2</v>
      </c>
      <c r="AC484" s="3">
        <v>-2.2373188930341206E-2</v>
      </c>
      <c r="AD484" s="3">
        <v>-8.4712741079188917E-3</v>
      </c>
      <c r="AE484" s="3">
        <v>-4.3956059994263559E-2</v>
      </c>
      <c r="AF484" s="3">
        <v>4.6909195125930114E-3</v>
      </c>
      <c r="AG484" s="3">
        <v>1.4718165907562532E-2</v>
      </c>
      <c r="AH484" s="3">
        <v>4.9321589610699787E-3</v>
      </c>
      <c r="AI484" s="3">
        <v>5.5767572689231198E-3</v>
      </c>
      <c r="AJ484" s="3">
        <v>4.6827361064724515E-2</v>
      </c>
      <c r="AK484" s="3">
        <v>-1.7045454545454562E-2</v>
      </c>
      <c r="AL484" s="3">
        <v>-2.3279532078639829E-2</v>
      </c>
      <c r="AM484" s="3">
        <v>-2.653879001732606E-2</v>
      </c>
      <c r="AN484" s="3">
        <v>-2.4652683215357903E-2</v>
      </c>
    </row>
    <row r="485" spans="1:40" x14ac:dyDescent="0.3">
      <c r="A485" s="101">
        <v>45012</v>
      </c>
      <c r="B485" s="3">
        <v>-5.3771674775215713E-3</v>
      </c>
      <c r="C485" s="3">
        <v>7.1257025172521727E-5</v>
      </c>
      <c r="D485" s="3">
        <v>1.0647476331248349E-3</v>
      </c>
      <c r="E485" s="3">
        <v>1.4944563813959885E-2</v>
      </c>
      <c r="F485" s="3">
        <v>-5.8333333333333336E-3</v>
      </c>
      <c r="G485" s="3">
        <v>-1.0075185445073296E-2</v>
      </c>
      <c r="H485" s="3">
        <v>-4.7517831621739929E-3</v>
      </c>
      <c r="I485" s="3">
        <v>-4.1880341880341752E-2</v>
      </c>
      <c r="J485" s="3">
        <v>0</v>
      </c>
      <c r="K485" s="3">
        <v>1.0647476331248349E-3</v>
      </c>
      <c r="L485" s="3">
        <v>-2.2633850076152543E-2</v>
      </c>
      <c r="M485" s="3">
        <v>-6.9089300456023671E-3</v>
      </c>
      <c r="N485" s="3">
        <v>-4.999620917674019E-3</v>
      </c>
      <c r="O485" s="3">
        <v>7.1257025172521727E-5</v>
      </c>
      <c r="P485" s="3">
        <v>-1.5315614493836352E-2</v>
      </c>
      <c r="Q485" s="3">
        <v>-1.3431013431013432E-2</v>
      </c>
      <c r="R485" s="3">
        <v>9.2485895953757658E-3</v>
      </c>
      <c r="S485" s="3">
        <v>0</v>
      </c>
      <c r="T485" s="3">
        <v>2.1601861083416371E-2</v>
      </c>
      <c r="U485" s="3">
        <v>2.7507896537566721E-2</v>
      </c>
      <c r="V485" s="3">
        <v>3.2648125755743655E-2</v>
      </c>
      <c r="W485" s="3">
        <v>-5.2355682311669705E-3</v>
      </c>
      <c r="X485" s="3">
        <v>0</v>
      </c>
      <c r="Y485" s="3">
        <v>1.4826006833763346E-2</v>
      </c>
      <c r="Z485" s="3">
        <v>1.6107382550335586E-2</v>
      </c>
      <c r="AA485" s="3">
        <v>1.9583731343472594E-2</v>
      </c>
      <c r="AB485" s="3">
        <v>-1.3308705709123424E-3</v>
      </c>
      <c r="AC485" s="3">
        <v>2.8071701382157916E-3</v>
      </c>
      <c r="AD485" s="3">
        <v>6.213577738991961E-3</v>
      </c>
      <c r="AE485" s="3">
        <v>-3.0980576230418642E-2</v>
      </c>
      <c r="AF485" s="3">
        <v>-1.2084581822412363E-2</v>
      </c>
      <c r="AG485" s="3">
        <v>-8.7028184294578627E-3</v>
      </c>
      <c r="AH485" s="3">
        <v>-2.8220755952466731E-2</v>
      </c>
      <c r="AI485" s="3">
        <v>2.2182617464974489E-3</v>
      </c>
      <c r="AJ485" s="3">
        <v>-1.3712128281759012E-2</v>
      </c>
      <c r="AK485" s="3">
        <v>1.1560693641618507E-2</v>
      </c>
      <c r="AL485" s="3">
        <v>5.5637274651870747E-3</v>
      </c>
      <c r="AM485" s="3">
        <v>-9.5858468972847711E-3</v>
      </c>
      <c r="AN485" s="3">
        <v>7.1091681722765861E-3</v>
      </c>
    </row>
    <row r="486" spans="1:40" x14ac:dyDescent="0.3">
      <c r="A486" s="101">
        <v>45013</v>
      </c>
      <c r="B486" s="3">
        <v>1.9080763354025188E-3</v>
      </c>
      <c r="C486" s="3">
        <v>-2.1754716641497258E-2</v>
      </c>
      <c r="D486" s="3">
        <v>1.5319387616738515E-2</v>
      </c>
      <c r="E486" s="3">
        <v>-1.7764926942270714E-3</v>
      </c>
      <c r="F486" s="3">
        <v>-3.310980720871752E-2</v>
      </c>
      <c r="G486" s="3">
        <v>-4.9183741983712961E-2</v>
      </c>
      <c r="H486" s="3">
        <v>-1.0062038129128083E-3</v>
      </c>
      <c r="I486" s="3">
        <v>9.8126226583406702E-3</v>
      </c>
      <c r="J486" s="3">
        <v>-2.3066782239678566E-2</v>
      </c>
      <c r="K486" s="3">
        <v>1.5319387616738515E-2</v>
      </c>
      <c r="L486" s="3">
        <v>1.4944563813959885E-2</v>
      </c>
      <c r="M486" s="3">
        <v>-9.0183455547964645E-3</v>
      </c>
      <c r="N486" s="3">
        <v>2.4312343174590398E-4</v>
      </c>
      <c r="O486" s="3">
        <v>-2.1754716641497258E-2</v>
      </c>
      <c r="P486" s="3">
        <v>-3.0349012505728602E-3</v>
      </c>
      <c r="Q486" s="3">
        <v>-1.4851485148514851E-2</v>
      </c>
      <c r="R486" s="3">
        <v>6.4032025290995678E-2</v>
      </c>
      <c r="S486" s="3">
        <v>2.130034172268647E-2</v>
      </c>
      <c r="T486" s="3">
        <v>8.1327260897852971E-3</v>
      </c>
      <c r="U486" s="3">
        <v>-4.049015608710279E-2</v>
      </c>
      <c r="V486" s="3">
        <v>-1.5222482435597189E-2</v>
      </c>
      <c r="W486" s="3">
        <v>1.1695782225137969E-2</v>
      </c>
      <c r="X486" s="3">
        <v>1.0704253521126762E-2</v>
      </c>
      <c r="Y486" s="3">
        <v>4.5874372985048083E-3</v>
      </c>
      <c r="Z486" s="3">
        <v>1.3210039630118842E-2</v>
      </c>
      <c r="AA486" s="3">
        <v>2.3758094584169245E-2</v>
      </c>
      <c r="AB486" s="3">
        <v>1.4115238793428362E-2</v>
      </c>
      <c r="AC486" s="3">
        <v>3.1029054779540675E-2</v>
      </c>
      <c r="AD486" s="3">
        <v>1.1964435392905714E-2</v>
      </c>
      <c r="AE486" s="3">
        <v>8.2198078687866633E-2</v>
      </c>
      <c r="AF486" s="3">
        <v>8.6180761796616785E-3</v>
      </c>
      <c r="AG486" s="3">
        <v>4.1806020066888737E-3</v>
      </c>
      <c r="AH486" s="3">
        <v>3.2828187364718063E-2</v>
      </c>
      <c r="AI486" s="3">
        <v>2.0935212170687605E-2</v>
      </c>
      <c r="AJ486" s="3">
        <v>4.1175928934048783E-2</v>
      </c>
      <c r="AK486" s="3">
        <v>1.7142857142857158E-2</v>
      </c>
      <c r="AL486" s="3">
        <v>2.0084299279345182E-2</v>
      </c>
      <c r="AM486" s="3">
        <v>3.1817914157546652E-2</v>
      </c>
      <c r="AN486" s="3">
        <v>3.4888829796411343E-2</v>
      </c>
    </row>
    <row r="487" spans="1:40" x14ac:dyDescent="0.3">
      <c r="A487" s="101">
        <v>45014</v>
      </c>
      <c r="B487" s="3">
        <v>-9.839694549658308E-3</v>
      </c>
      <c r="C487" s="3">
        <v>-1.0207695465343846E-2</v>
      </c>
      <c r="D487" s="3">
        <v>-1.3203909393493456E-2</v>
      </c>
      <c r="E487" s="3">
        <v>2.4558089630938574E-2</v>
      </c>
      <c r="F487" s="3">
        <v>-1.3870827915041179E-2</v>
      </c>
      <c r="G487" s="3">
        <v>-5.0260814778448723E-2</v>
      </c>
      <c r="H487" s="3">
        <v>-2.4346642831414049E-3</v>
      </c>
      <c r="I487" s="3">
        <v>1.545940881004451E-2</v>
      </c>
      <c r="J487" s="3">
        <v>-4.2819320481507816E-3</v>
      </c>
      <c r="K487" s="3">
        <v>-1.3203909393493456E-2</v>
      </c>
      <c r="L487" s="3">
        <v>-1.7764926942270714E-3</v>
      </c>
      <c r="M487" s="3">
        <v>-1.2220411134176223E-2</v>
      </c>
      <c r="N487" s="3">
        <v>5.590690416313166E-3</v>
      </c>
      <c r="O487" s="3">
        <v>-1.0207695465343846E-2</v>
      </c>
      <c r="P487" s="3">
        <v>2.2830973256051358E-2</v>
      </c>
      <c r="Q487" s="3">
        <v>1.193467336683417E-2</v>
      </c>
      <c r="R487" s="3">
        <v>-1.1949617956180615E-2</v>
      </c>
      <c r="S487" s="3">
        <v>9.2034575034884644E-3</v>
      </c>
      <c r="T487" s="3">
        <v>-1.7747821878024671E-3</v>
      </c>
      <c r="U487" s="3">
        <v>-1.2354233587531504E-2</v>
      </c>
      <c r="V487" s="3">
        <v>-9.512485136741973E-3</v>
      </c>
      <c r="W487" s="3">
        <v>-1.4450883680482411E-2</v>
      </c>
      <c r="X487" s="3">
        <v>-1.2263154619198583E-2</v>
      </c>
      <c r="Y487" s="3">
        <v>-1.4050653760031341E-3</v>
      </c>
      <c r="Z487" s="3">
        <v>1.3037809647978862E-3</v>
      </c>
      <c r="AA487" s="3">
        <v>-4.9555038429338179E-2</v>
      </c>
      <c r="AB487" s="3">
        <v>-1.0155557867619928E-3</v>
      </c>
      <c r="AC487" s="3">
        <v>-7.7723069142911744E-2</v>
      </c>
      <c r="AD487" s="3">
        <v>2.0595054415533713E-2</v>
      </c>
      <c r="AE487" s="3">
        <v>-6.1740015942284864E-2</v>
      </c>
      <c r="AF487" s="3">
        <v>-8.5997592363174391E-2</v>
      </c>
      <c r="AG487" s="3">
        <v>2.3313905079100698E-2</v>
      </c>
      <c r="AH487" s="3">
        <v>3.9364332172497775E-2</v>
      </c>
      <c r="AI487" s="3">
        <v>1.9963941366569312E-2</v>
      </c>
      <c r="AJ487" s="3">
        <v>-8.6099980951351972E-3</v>
      </c>
      <c r="AK487" s="3">
        <v>1.6853932584269676E-2</v>
      </c>
      <c r="AL487" s="3">
        <v>-1.750930349835805E-2</v>
      </c>
      <c r="AM487" s="3">
        <v>-0.35116602583830181</v>
      </c>
      <c r="AN487" s="3">
        <v>-2.6041046932440564E-2</v>
      </c>
    </row>
    <row r="488" spans="1:40" x14ac:dyDescent="0.3">
      <c r="A488" s="101">
        <v>45015</v>
      </c>
      <c r="B488" s="3">
        <v>-2.9652158992748031E-2</v>
      </c>
      <c r="C488" s="3">
        <v>6.6300440913137041E-4</v>
      </c>
      <c r="D488" s="3">
        <v>-7.0043037327809055E-4</v>
      </c>
      <c r="E488" s="3">
        <v>5.9827059796374853E-3</v>
      </c>
      <c r="F488" s="3">
        <v>1.7582417582417582E-3</v>
      </c>
      <c r="G488" s="3">
        <v>-1.9852315000664859E-2</v>
      </c>
      <c r="H488" s="3">
        <v>-2.3637105240283149E-3</v>
      </c>
      <c r="I488" s="3">
        <v>-8.264506307089985E-3</v>
      </c>
      <c r="J488" s="3">
        <v>1.6095395398991179E-2</v>
      </c>
      <c r="K488" s="3">
        <v>-7.0043037327809055E-4</v>
      </c>
      <c r="L488" s="3">
        <v>2.4558089630938574E-2</v>
      </c>
      <c r="M488" s="3">
        <v>-1.4740773111830772E-2</v>
      </c>
      <c r="N488" s="3">
        <v>-4.8344129817547649E-3</v>
      </c>
      <c r="O488" s="3">
        <v>6.6300440913137041E-4</v>
      </c>
      <c r="P488" s="3">
        <v>3.199408601168463E-2</v>
      </c>
      <c r="Q488" s="3">
        <v>8.0695220360024831E-3</v>
      </c>
      <c r="R488" s="3">
        <v>7.8448573528530578E-3</v>
      </c>
      <c r="S488" s="3">
        <v>1.4210086375034828E-2</v>
      </c>
      <c r="T488" s="3">
        <v>-3.7174705627520691E-2</v>
      </c>
      <c r="U488" s="3">
        <v>1.6022473196838465E-2</v>
      </c>
      <c r="V488" s="3">
        <v>1.680672268907563E-2</v>
      </c>
      <c r="W488" s="3">
        <v>-1.5835676375004142E-2</v>
      </c>
      <c r="X488" s="3">
        <v>-1.8623025356180278E-2</v>
      </c>
      <c r="Y488" s="3">
        <v>-1.2100752864082942E-2</v>
      </c>
      <c r="Z488" s="3">
        <v>-1.4322916666666593E-2</v>
      </c>
      <c r="AA488" s="3">
        <v>3.2316842657096584E-2</v>
      </c>
      <c r="AB488" s="3">
        <v>-4.8436604454601675E-3</v>
      </c>
      <c r="AC488" s="3">
        <v>-6.1620552456047771E-2</v>
      </c>
      <c r="AD488" s="3">
        <v>-1.1584436671194373E-2</v>
      </c>
      <c r="AE488" s="3">
        <v>-9.1448361777858811E-2</v>
      </c>
      <c r="AF488" s="3">
        <v>-2.5633288703304124E-2</v>
      </c>
      <c r="AG488" s="3">
        <v>-4.8820219690805404E-2</v>
      </c>
      <c r="AH488" s="3">
        <v>-2.3520789784578567E-4</v>
      </c>
      <c r="AI488" s="3">
        <v>-1.5676299233883074E-2</v>
      </c>
      <c r="AJ488" s="3">
        <v>-3.0175799843660551E-3</v>
      </c>
      <c r="AK488" s="3">
        <v>-2.2099447513812175E-2</v>
      </c>
      <c r="AL488" s="3">
        <v>-2.579426978563977E-2</v>
      </c>
      <c r="AM488" s="3">
        <v>-3.5235867763951816E-2</v>
      </c>
      <c r="AN488" s="3">
        <v>-3.7026428674226626E-2</v>
      </c>
    </row>
    <row r="489" spans="1:40" x14ac:dyDescent="0.3">
      <c r="A489" s="101">
        <v>45016</v>
      </c>
      <c r="B489" s="3">
        <v>1.6352777298192355E-2</v>
      </c>
      <c r="C489" s="3">
        <v>1.2367576924456166E-2</v>
      </c>
      <c r="D489" s="3">
        <v>-1.1582204919257941E-3</v>
      </c>
      <c r="E489" s="3">
        <v>3.5183957651694867E-2</v>
      </c>
      <c r="F489" s="3">
        <v>1.0092145677928916E-2</v>
      </c>
      <c r="G489" s="3">
        <v>9.6894053944323964E-3</v>
      </c>
      <c r="H489" s="3">
        <v>-3.5958565544791129E-3</v>
      </c>
      <c r="I489" s="3">
        <v>0</v>
      </c>
      <c r="J489" s="3">
        <v>4.2322387152190933E-3</v>
      </c>
      <c r="K489" s="3">
        <v>-1.1582204919257941E-3</v>
      </c>
      <c r="L489" s="3">
        <v>5.9827059796374853E-3</v>
      </c>
      <c r="M489" s="3">
        <v>3.0724071600320615E-2</v>
      </c>
      <c r="N489" s="3">
        <v>-6.8011010152845214E-3</v>
      </c>
      <c r="O489" s="3">
        <v>1.2367576924456166E-2</v>
      </c>
      <c r="P489" s="3">
        <v>3.1362689257390122E-2</v>
      </c>
      <c r="Q489" s="3">
        <v>1.2315270935960591E-3</v>
      </c>
      <c r="R489" s="3">
        <v>1.6216216216216217E-2</v>
      </c>
      <c r="S489" s="3">
        <v>-9.4532725274725487E-3</v>
      </c>
      <c r="T489" s="3">
        <v>2.0983716635890548E-2</v>
      </c>
      <c r="U489" s="3">
        <v>-9.8215381128575509E-3</v>
      </c>
      <c r="V489" s="3">
        <v>2.2432113341204249E-2</v>
      </c>
      <c r="W489" s="3">
        <v>-8.0452715563905063E-3</v>
      </c>
      <c r="X489" s="3">
        <v>6.3255033446091664E-3</v>
      </c>
      <c r="Y489" s="3">
        <v>-1.1038335152233828E-2</v>
      </c>
      <c r="Z489" s="3">
        <v>-2.3778071334214081E-2</v>
      </c>
      <c r="AA489" s="3">
        <v>-3.697576170297587E-3</v>
      </c>
      <c r="AB489" s="3">
        <v>-2.7821170883107014E-2</v>
      </c>
      <c r="AC489" s="3">
        <v>-2.1056020910341079E-2</v>
      </c>
      <c r="AD489" s="3">
        <v>-1.9659765475478267E-2</v>
      </c>
      <c r="AE489" s="3">
        <v>-2.4711269973542886E-2</v>
      </c>
      <c r="AF489" s="3">
        <v>-3.9306798684058168E-2</v>
      </c>
      <c r="AG489" s="3">
        <v>-9.8374255704631527E-3</v>
      </c>
      <c r="AH489" s="3">
        <v>-3.7647115383585554E-2</v>
      </c>
      <c r="AI489" s="3">
        <v>-3.7250249965243946E-2</v>
      </c>
      <c r="AJ489" s="3">
        <v>-4.7172455766392472E-2</v>
      </c>
      <c r="AK489" s="3">
        <v>-3.9548022598870095E-2</v>
      </c>
      <c r="AL489" s="3">
        <v>-4.2609320660330206E-2</v>
      </c>
      <c r="AM489" s="3">
        <v>-1.2372820949625036E-2</v>
      </c>
      <c r="AN489" s="3">
        <v>-2.6608936633188467E-2</v>
      </c>
    </row>
    <row r="490" spans="1:40" x14ac:dyDescent="0.3">
      <c r="A490" s="101">
        <v>45019</v>
      </c>
      <c r="B490" s="3">
        <v>4.9731786298387967E-2</v>
      </c>
      <c r="C490" s="3">
        <v>1.6652032975638466E-2</v>
      </c>
      <c r="D490" s="3">
        <v>1.0856589373265115E-3</v>
      </c>
      <c r="E490" s="3">
        <v>3.4840435668489498E-3</v>
      </c>
      <c r="G490" s="3">
        <v>0.1345820299359933</v>
      </c>
      <c r="H490" s="3">
        <v>3.6693730114421277E-3</v>
      </c>
      <c r="I490" s="3">
        <v>-4.3850879116264467E-4</v>
      </c>
      <c r="J490" s="3">
        <v>-7.2246775718259352E-3</v>
      </c>
      <c r="K490" s="3">
        <v>1.0856589373265115E-3</v>
      </c>
      <c r="L490" s="3">
        <v>3.5183957651694867E-2</v>
      </c>
      <c r="M490" s="3">
        <v>2.3587349736270014E-2</v>
      </c>
      <c r="N490" s="3">
        <v>-9.0486673033125312E-3</v>
      </c>
      <c r="O490" s="3">
        <v>1.6652032975638466E-2</v>
      </c>
      <c r="P490" s="3">
        <v>3.9846171274163865E-2</v>
      </c>
      <c r="R490" s="3">
        <v>1.0638297872340425E-2</v>
      </c>
      <c r="S490" s="3">
        <v>-1.2641503023790196E-2</v>
      </c>
      <c r="T490" s="3">
        <v>3.6172476159157568E-3</v>
      </c>
      <c r="U490" s="3">
        <v>-1.0198435032175521E-2</v>
      </c>
      <c r="V490" s="3">
        <v>-1.0392609699769052E-2</v>
      </c>
      <c r="W490" s="3">
        <v>2.1026810407867619E-3</v>
      </c>
      <c r="X490" s="3">
        <v>5.714285714286607E-4</v>
      </c>
      <c r="Y490" s="3">
        <v>-6.192842449515356E-3</v>
      </c>
      <c r="Z490" s="3">
        <v>2.7063599458728637E-3</v>
      </c>
      <c r="AA490" s="3">
        <v>-6.9946461140650727E-3</v>
      </c>
      <c r="AB490" s="3">
        <v>6.7372199165310507E-3</v>
      </c>
      <c r="AC490" s="3">
        <v>1.5642843867020483E-2</v>
      </c>
      <c r="AD490" s="3">
        <v>2.0439626773883522E-2</v>
      </c>
      <c r="AE490" s="3">
        <v>4.4494882871351664E-2</v>
      </c>
      <c r="AF490" s="3">
        <v>5.1546902157479629E-3</v>
      </c>
      <c r="AG490" s="3">
        <v>7.3434125269979146E-3</v>
      </c>
      <c r="AH490" s="3">
        <v>-5.3789722283603285E-2</v>
      </c>
      <c r="AI490" s="3">
        <v>-2.4579497266380115E-2</v>
      </c>
      <c r="AJ490" s="3">
        <v>-8.755013418007827E-3</v>
      </c>
      <c r="AK490" s="3">
        <v>-7.0588235294117577E-2</v>
      </c>
      <c r="AL490" s="3">
        <v>3.0397796752851661E-2</v>
      </c>
      <c r="AM490" s="3">
        <v>-2.6030066332032982E-2</v>
      </c>
      <c r="AN490" s="3">
        <v>1.1943186202569274E-2</v>
      </c>
    </row>
    <row r="491" spans="1:40" x14ac:dyDescent="0.3">
      <c r="A491" s="101">
        <v>45020</v>
      </c>
      <c r="B491" s="3">
        <v>7.8960608827715606E-3</v>
      </c>
      <c r="C491" s="3">
        <v>7.8678716706015329E-3</v>
      </c>
      <c r="D491" s="3">
        <v>-1.5419056526427125E-3</v>
      </c>
      <c r="E491" s="3">
        <v>1.6879661988590609E-2</v>
      </c>
      <c r="G491" s="3">
        <v>3.7501274775840004E-2</v>
      </c>
      <c r="H491" s="3">
        <v>4.6411565024779737E-3</v>
      </c>
      <c r="I491" s="3">
        <v>4.3870116548040114E-4</v>
      </c>
      <c r="J491" s="3">
        <v>-6.4280942202741831E-3</v>
      </c>
      <c r="K491" s="3">
        <v>-1.5419056526427125E-3</v>
      </c>
      <c r="L491" s="3">
        <v>3.4840435668489498E-3</v>
      </c>
      <c r="M491" s="3">
        <v>4.6087589461251556E-2</v>
      </c>
      <c r="N491" s="3">
        <v>3.9486920689157188E-3</v>
      </c>
      <c r="O491" s="3">
        <v>7.8678716706015329E-3</v>
      </c>
      <c r="P491" s="3">
        <v>3.3949579831932829E-2</v>
      </c>
      <c r="R491" s="3">
        <v>1.8421052631578946E-2</v>
      </c>
      <c r="S491" s="3">
        <v>-9.3005659835208882E-3</v>
      </c>
      <c r="T491" s="3">
        <v>-3.4731372301255323E-2</v>
      </c>
      <c r="U491" s="3">
        <v>-9.738800557199714E-3</v>
      </c>
      <c r="V491" s="3">
        <v>1.0501750291715286E-2</v>
      </c>
      <c r="W491" s="3">
        <v>2.0383738259329747E-2</v>
      </c>
      <c r="X491" s="3">
        <v>1.1993118218160967E-2</v>
      </c>
      <c r="Y491" s="3">
        <v>-3.0432505993496341E-3</v>
      </c>
      <c r="Z491" s="3">
        <v>2.2941970310391354E-2</v>
      </c>
      <c r="AA491" s="3">
        <v>-0.12184121817516243</v>
      </c>
      <c r="AB491" s="3">
        <v>-3.7328034394593139E-2</v>
      </c>
      <c r="AC491" s="3">
        <v>-3.2301234496464132E-2</v>
      </c>
      <c r="AD491" s="3">
        <v>-2.380947819892263E-2</v>
      </c>
      <c r="AE491" s="3">
        <v>-9.5158284383856262E-2</v>
      </c>
      <c r="AF491" s="3">
        <v>-5.8653841772153638E-2</v>
      </c>
      <c r="AG491" s="3">
        <v>-2.7444253859348223E-2</v>
      </c>
      <c r="AH491" s="3">
        <v>-4.3927635071329171E-2</v>
      </c>
      <c r="AI491" s="3">
        <v>-5.1451529755328032E-2</v>
      </c>
      <c r="AJ491" s="3">
        <v>-5.7995951422604421E-2</v>
      </c>
      <c r="AK491" s="3">
        <v>1.2658227848101276E-2</v>
      </c>
      <c r="AL491" s="3">
        <v>-3.0377306288032507E-2</v>
      </c>
      <c r="AM491" s="3">
        <v>-5.4833070271391136E-2</v>
      </c>
      <c r="AN491" s="3">
        <v>-4.5750775437422939E-2</v>
      </c>
    </row>
    <row r="492" spans="1:40" x14ac:dyDescent="0.3">
      <c r="A492" s="101">
        <v>45021</v>
      </c>
      <c r="B492" s="3">
        <v>-2.903229118655928E-2</v>
      </c>
      <c r="C492" s="3">
        <v>-4.2580997142624487E-4</v>
      </c>
      <c r="D492" s="3">
        <v>7.0930474101704721E-4</v>
      </c>
      <c r="E492" s="3">
        <v>-2.7968456039090952E-2</v>
      </c>
      <c r="G492" s="3">
        <v>-5.7459961139867413E-2</v>
      </c>
      <c r="H492" s="3">
        <v>2.1647620763036554E-3</v>
      </c>
      <c r="I492" s="3">
        <v>0</v>
      </c>
      <c r="J492" s="3">
        <v>1.074230431547561E-2</v>
      </c>
      <c r="K492" s="3">
        <v>7.0930474101704721E-4</v>
      </c>
      <c r="L492" s="3">
        <v>1.6879661988590609E-2</v>
      </c>
      <c r="M492" s="3">
        <v>-1.5976736480834246E-2</v>
      </c>
      <c r="N492" s="3">
        <v>-6.883021903613451E-3</v>
      </c>
      <c r="O492" s="3">
        <v>-4.2580997142624487E-4</v>
      </c>
      <c r="P492" s="3">
        <v>1.0403120936280777E-2</v>
      </c>
      <c r="R492" s="3">
        <v>1.5504082687338566E-3</v>
      </c>
      <c r="S492" s="3">
        <v>5.8692326335264893E-3</v>
      </c>
      <c r="T492" s="3">
        <v>2.1894111401701062E-2</v>
      </c>
      <c r="U492" s="3">
        <v>4.2331710813471479E-2</v>
      </c>
      <c r="V492" s="3">
        <v>-2.4249422632794459E-2</v>
      </c>
      <c r="W492" s="3">
        <v>-1.292610001628129E-2</v>
      </c>
      <c r="X492" s="3">
        <v>2.7088121531831884E-2</v>
      </c>
      <c r="Y492" s="3">
        <v>-8.3581221995240179E-3</v>
      </c>
      <c r="Z492" s="3">
        <v>1.3192612137202884E-3</v>
      </c>
      <c r="AA492" s="3">
        <v>5.8076775275034513E-3</v>
      </c>
      <c r="AB492" s="3">
        <v>-1.466853670131552E-3</v>
      </c>
      <c r="AC492" s="3">
        <v>-3.3158331580408922E-2</v>
      </c>
      <c r="AD492" s="3">
        <v>-5.4200610076728557E-3</v>
      </c>
      <c r="AE492" s="3">
        <v>-7.6285961720009551E-2</v>
      </c>
      <c r="AF492" s="3">
        <v>-1.4981296338245501E-2</v>
      </c>
      <c r="AG492" s="3">
        <v>8.818783068783334E-4</v>
      </c>
      <c r="AH492" s="3">
        <v>-5.8108137662557818E-2</v>
      </c>
      <c r="AI492" s="3">
        <v>-2.6969744502603085E-2</v>
      </c>
      <c r="AJ492" s="3">
        <v>5.9740701906779948E-3</v>
      </c>
      <c r="AK492" s="3">
        <v>-1.2500000000000011E-2</v>
      </c>
      <c r="AL492" s="3">
        <v>-3.7533656156184328E-2</v>
      </c>
      <c r="AM492" s="3">
        <v>-4.9697587188435012E-2</v>
      </c>
      <c r="AN492" s="3">
        <v>-8.7810471788975532E-3</v>
      </c>
    </row>
    <row r="493" spans="1:40" x14ac:dyDescent="0.3">
      <c r="A493" s="101">
        <v>45026</v>
      </c>
      <c r="B493" s="3">
        <v>-3.6386651159879761E-2</v>
      </c>
      <c r="C493" s="3">
        <v>9.9395110943934807E-4</v>
      </c>
      <c r="D493" s="3">
        <v>-5.2426677371072441E-4</v>
      </c>
      <c r="E493" s="3">
        <v>-1.9916993080869614E-2</v>
      </c>
      <c r="G493" s="3">
        <v>-0.16756983813640927</v>
      </c>
      <c r="H493" s="3">
        <v>2.5594855733547892E-3</v>
      </c>
      <c r="I493" s="3">
        <v>0</v>
      </c>
      <c r="J493" s="3">
        <v>-8.4548402921782865E-4</v>
      </c>
      <c r="K493" s="3">
        <v>-5.2426677371072441E-4</v>
      </c>
      <c r="L493" s="3">
        <v>-2.7968456039090952E-2</v>
      </c>
      <c r="M493" s="3">
        <v>-1.7220195954725914E-2</v>
      </c>
      <c r="N493" s="3">
        <v>5.5281024470652486E-3</v>
      </c>
      <c r="O493" s="3">
        <v>9.9395110943934807E-4</v>
      </c>
      <c r="P493" s="3">
        <v>-7.0784749034748344E-3</v>
      </c>
      <c r="R493" s="3">
        <v>2.2703921100021892E-3</v>
      </c>
      <c r="S493" s="3">
        <v>-2.1423209465701986E-3</v>
      </c>
      <c r="T493" s="3">
        <v>-3.4213536525718971E-2</v>
      </c>
      <c r="U493" s="3">
        <v>3.2955067672161956E-2</v>
      </c>
      <c r="V493" s="3">
        <v>2.8402366863905324E-2</v>
      </c>
      <c r="W493" s="3">
        <v>1.1904826433958722E-2</v>
      </c>
      <c r="X493" s="3">
        <v>-7.1429391679703079E-3</v>
      </c>
      <c r="Y493" s="3">
        <v>5.7900468221922718E-3</v>
      </c>
      <c r="Z493" s="3">
        <v>-1.0540184453227941E-2</v>
      </c>
      <c r="AA493" s="3">
        <v>-4.5377045690043073E-3</v>
      </c>
      <c r="AB493" s="3">
        <v>4.5155368260794318E-2</v>
      </c>
      <c r="AC493" s="3">
        <v>0.17593597901004826</v>
      </c>
      <c r="AD493" s="3">
        <v>2.9583504693796885E-2</v>
      </c>
      <c r="AE493" s="3">
        <v>8.1052322297019336E-2</v>
      </c>
      <c r="AF493" s="3">
        <v>4.1478939098937035E-3</v>
      </c>
      <c r="AG493" s="3">
        <v>2.1585902132779573E-2</v>
      </c>
      <c r="AH493" s="3">
        <v>5.1649973029056814E-2</v>
      </c>
      <c r="AI493" s="3">
        <v>3.2803862145234515E-2</v>
      </c>
      <c r="AJ493" s="3">
        <v>4.7921509682455857E-2</v>
      </c>
      <c r="AK493" s="3">
        <v>2.5316455696202552E-2</v>
      </c>
      <c r="AL493" s="3">
        <v>3.8175794749631654E-2</v>
      </c>
      <c r="AM493" s="3">
        <v>5.8237039395668114E-2</v>
      </c>
      <c r="AN493" s="3">
        <v>4.6534191769819454E-2</v>
      </c>
    </row>
    <row r="494" spans="1:40" x14ac:dyDescent="0.3">
      <c r="A494" s="101">
        <v>45027</v>
      </c>
      <c r="B494" s="3">
        <v>1.8059396926007117E-2</v>
      </c>
      <c r="C494" s="3">
        <v>-1.1773785467924302E-2</v>
      </c>
      <c r="D494" s="3">
        <v>1.3150685221046941E-3</v>
      </c>
      <c r="E494" s="3">
        <v>3.3132507568373257E-2</v>
      </c>
      <c r="G494" s="3">
        <v>9.1825228211856111E-2</v>
      </c>
      <c r="H494" s="3">
        <v>-4.6809640794103985E-3</v>
      </c>
      <c r="I494" s="3">
        <v>-3.508772083717999E-3</v>
      </c>
      <c r="J494" s="3">
        <v>-1.946082649086827E-2</v>
      </c>
      <c r="K494" s="3">
        <v>1.3150685221046941E-3</v>
      </c>
      <c r="L494" s="3">
        <v>-1.9916993080869614E-2</v>
      </c>
      <c r="M494" s="3">
        <v>2.678345364747307E-2</v>
      </c>
      <c r="N494" s="3">
        <v>-9.1080739531941828E-3</v>
      </c>
      <c r="O494" s="3">
        <v>-1.1773785467924302E-2</v>
      </c>
      <c r="P494" s="3">
        <v>-1.1341574486663137E-2</v>
      </c>
      <c r="R494" s="3">
        <v>-5.0453664009873838E-3</v>
      </c>
      <c r="S494" s="3">
        <v>1.1692060169491534E-2</v>
      </c>
      <c r="T494" s="3">
        <v>1.5821117254647722E-2</v>
      </c>
      <c r="U494" s="3">
        <v>1.0193235237049961E-2</v>
      </c>
      <c r="V494" s="3">
        <v>-4.6029919447640967E-3</v>
      </c>
      <c r="W494" s="3">
        <v>1.058822972492687E-2</v>
      </c>
      <c r="X494" s="3">
        <v>1.0514693152039102E-2</v>
      </c>
      <c r="Y494" s="3">
        <v>-9.2544562924858614E-3</v>
      </c>
      <c r="Z494" s="3">
        <v>-1.8641810918774926E-2</v>
      </c>
      <c r="AA494" s="3">
        <v>-7.6922202245317374E-3</v>
      </c>
      <c r="AB494" s="3">
        <v>-3.6604843361209352E-2</v>
      </c>
      <c r="AC494" s="3">
        <v>-2.5567467565595071E-2</v>
      </c>
      <c r="AD494" s="3">
        <v>-7.5614571045812939E-3</v>
      </c>
      <c r="AE494" s="3">
        <v>1.3860144511409267E-2</v>
      </c>
      <c r="AF494" s="3">
        <v>2.4096489600766613E-3</v>
      </c>
      <c r="AG494" s="3">
        <v>-9.0556701571508479E-3</v>
      </c>
      <c r="AH494" s="3">
        <v>-2.728568873698409E-3</v>
      </c>
      <c r="AI494" s="3">
        <v>5.829783336491515E-3</v>
      </c>
      <c r="AJ494" s="3">
        <v>-1.8496658287383991E-2</v>
      </c>
      <c r="AK494" s="3">
        <v>6.1728395061727073E-3</v>
      </c>
      <c r="AL494" s="3">
        <v>-3.7224220759509999E-2</v>
      </c>
      <c r="AM494" s="3">
        <v>-4.5910198558335981E-2</v>
      </c>
      <c r="AN494" s="3">
        <v>-0.14049437864321151</v>
      </c>
    </row>
    <row r="495" spans="1:40" x14ac:dyDescent="0.3">
      <c r="A495" s="101">
        <v>45028</v>
      </c>
      <c r="B495" s="3">
        <v>2.2415837685775462E-2</v>
      </c>
      <c r="C495" s="3">
        <v>-9.8327661654397189E-3</v>
      </c>
      <c r="D495" s="3">
        <v>-2.7595013405277229E-3</v>
      </c>
      <c r="E495" s="3">
        <v>1.4392038910502919E-3</v>
      </c>
      <c r="G495" s="3">
        <v>-1.6740228843556696E-2</v>
      </c>
      <c r="H495" s="3">
        <v>3.3788065774991477E-3</v>
      </c>
      <c r="I495" s="3">
        <v>1.3204666074148423E-3</v>
      </c>
      <c r="J495" s="3">
        <v>0</v>
      </c>
      <c r="K495" s="3">
        <v>-2.7595013405277229E-3</v>
      </c>
      <c r="L495" s="3">
        <v>3.3132507568373257E-2</v>
      </c>
      <c r="M495" s="3">
        <v>1.462698683568983E-2</v>
      </c>
      <c r="N495" s="3">
        <v>2.7161302961886367E-2</v>
      </c>
      <c r="O495" s="3">
        <v>-9.8327661654397189E-3</v>
      </c>
      <c r="P495" s="3">
        <v>-3.6053752867913134E-3</v>
      </c>
      <c r="R495" s="3">
        <v>1.4281331293014498E-2</v>
      </c>
      <c r="S495" s="3">
        <v>-1.4628369031363664E-2</v>
      </c>
      <c r="T495" s="3">
        <v>6.9409175554426376E-3</v>
      </c>
      <c r="U495" s="3">
        <v>1.3107063637978429E-4</v>
      </c>
      <c r="V495" s="3">
        <v>-6.9364161849710983E-3</v>
      </c>
      <c r="W495" s="3">
        <v>-1.2223519626396812E-2</v>
      </c>
      <c r="X495" s="3">
        <v>3.5597480832419907E-3</v>
      </c>
      <c r="Y495" s="3">
        <v>1.3165584788473936E-2</v>
      </c>
      <c r="Z495" s="3">
        <v>8.1411126187245064E-3</v>
      </c>
      <c r="AA495" s="3">
        <v>3.6956286247689631E-2</v>
      </c>
      <c r="AB495" s="3">
        <v>1.9665872770110431E-3</v>
      </c>
      <c r="AC495" s="3">
        <v>5.3175058347009314E-2</v>
      </c>
      <c r="AD495" s="3">
        <v>3.8098045174438826E-4</v>
      </c>
      <c r="AE495" s="3">
        <v>0.11011835069712918</v>
      </c>
      <c r="AF495" s="3">
        <v>3.9491866830678908E-2</v>
      </c>
      <c r="AG495" s="3">
        <v>-8.2680156657963556E-3</v>
      </c>
      <c r="AH495" s="3">
        <v>-1.3678096075444559E-3</v>
      </c>
      <c r="AI495" s="3">
        <v>2.1385038678294402E-2</v>
      </c>
      <c r="AJ495" s="3">
        <v>1.1066555793086923E-2</v>
      </c>
      <c r="AK495" s="3">
        <v>-1.8404907975460003E-2</v>
      </c>
      <c r="AL495" s="3">
        <v>1.9053367885891723E-2</v>
      </c>
      <c r="AM495" s="3">
        <v>4.7804191806029558E-2</v>
      </c>
      <c r="AN495" s="3">
        <v>1.7580894701449356E-3</v>
      </c>
    </row>
    <row r="496" spans="1:40" x14ac:dyDescent="0.3">
      <c r="A496" s="101">
        <v>45029</v>
      </c>
      <c r="B496" s="3">
        <v>1.0094583093560337E-2</v>
      </c>
      <c r="C496" s="3">
        <v>2.1746118395254684E-4</v>
      </c>
      <c r="D496" s="3">
        <v>-1.0360867119940346E-4</v>
      </c>
      <c r="E496" s="3">
        <v>2.3955369473869816E-3</v>
      </c>
      <c r="G496" s="3">
        <v>-3.2592835187243818E-2</v>
      </c>
      <c r="H496" s="3">
        <v>1.8549113598360816E-3</v>
      </c>
      <c r="I496" s="3">
        <v>0</v>
      </c>
      <c r="J496" s="3">
        <v>-2.4656135368007312E-3</v>
      </c>
      <c r="K496" s="3">
        <v>-1.0360867119940346E-4</v>
      </c>
      <c r="L496" s="3">
        <v>1.4392038910502919E-3</v>
      </c>
      <c r="M496" s="3">
        <v>3.4839044566051053E-2</v>
      </c>
      <c r="N496" s="3">
        <v>-1.4511447803036281E-3</v>
      </c>
      <c r="O496" s="3">
        <v>2.1746118395254684E-4</v>
      </c>
      <c r="P496" s="3">
        <v>1.5131611842105326E-2</v>
      </c>
      <c r="R496" s="3">
        <v>-5.4076011548291128E-3</v>
      </c>
      <c r="S496" s="3">
        <v>-8.5009917823746107E-3</v>
      </c>
      <c r="T496" s="3">
        <v>6.0524546065905604E-3</v>
      </c>
      <c r="U496" s="3">
        <v>4.8480345911951486E-3</v>
      </c>
      <c r="V496" s="3">
        <v>1.3969732246798603E-2</v>
      </c>
      <c r="W496" s="3">
        <v>-6.4819370959710212E-3</v>
      </c>
      <c r="X496" s="3">
        <v>1.3642291206423312E-3</v>
      </c>
      <c r="Y496" s="3">
        <v>-5.1543157894736137E-3</v>
      </c>
      <c r="Z496" s="3">
        <v>5.3835800807537065E-3</v>
      </c>
      <c r="AA496" s="3">
        <v>6.9882813579936398E-3</v>
      </c>
      <c r="AB496" s="3">
        <v>9.6225749954129344E-3</v>
      </c>
      <c r="AC496" s="3">
        <v>4.26274796895871E-3</v>
      </c>
      <c r="AD496" s="3">
        <v>1.2185805036538985E-2</v>
      </c>
      <c r="AE496" s="3">
        <v>7.9511298734934819E-3</v>
      </c>
      <c r="AF496" s="3">
        <v>-1.2884156972181074E-2</v>
      </c>
      <c r="AG496" s="3">
        <v>4.826634277023437E-3</v>
      </c>
      <c r="AH496" s="3">
        <v>1.5068453670071619E-2</v>
      </c>
      <c r="AI496" s="3">
        <v>-6.4573033493127091E-3</v>
      </c>
      <c r="AJ496" s="3">
        <v>-2.5539317716095675E-2</v>
      </c>
      <c r="AK496" s="3">
        <v>-1.2500000000000011E-2</v>
      </c>
      <c r="AL496" s="3">
        <v>8.3008528436346856E-3</v>
      </c>
      <c r="AM496" s="3">
        <v>2.0554897503838876E-3</v>
      </c>
      <c r="AN496" s="3">
        <v>-1.9799036144578517E-3</v>
      </c>
    </row>
    <row r="497" spans="1:40" x14ac:dyDescent="0.3">
      <c r="A497" s="101">
        <v>45030</v>
      </c>
      <c r="B497" s="3">
        <v>-9.3691705405309841E-3</v>
      </c>
      <c r="C497" s="3">
        <v>-2.1742417130913008E-3</v>
      </c>
      <c r="D497" s="3">
        <v>-2.145797485875232E-3</v>
      </c>
      <c r="E497" s="3">
        <v>3.6604393200010763E-5</v>
      </c>
      <c r="G497" s="3">
        <v>5.7678442112806705E-2</v>
      </c>
      <c r="H497" s="3">
        <v>3.0459783463457181E-3</v>
      </c>
      <c r="I497" s="3">
        <v>0</v>
      </c>
      <c r="J497" s="3">
        <v>-6.1781752423447278E-4</v>
      </c>
      <c r="K497" s="3">
        <v>-2.145797485875232E-3</v>
      </c>
      <c r="L497" s="3">
        <v>2.3955369473869816E-3</v>
      </c>
      <c r="M497" s="3">
        <v>4.1095890410958978E-2</v>
      </c>
      <c r="N497" s="3">
        <v>8.4773372478820167E-3</v>
      </c>
      <c r="O497" s="3">
        <v>-2.1742417130913008E-3</v>
      </c>
      <c r="P497" s="3">
        <v>-1.9118631914496725E-2</v>
      </c>
      <c r="R497" s="3">
        <v>2.0513950948486938E-4</v>
      </c>
      <c r="S497" s="3">
        <v>1.8576736210345814E-2</v>
      </c>
      <c r="T497" s="3">
        <v>6.6845254010694105E-3</v>
      </c>
      <c r="U497" s="3">
        <v>-1.8907340750884408E-2</v>
      </c>
      <c r="V497" s="3">
        <v>5.7405281285878304E-3</v>
      </c>
      <c r="W497" s="3">
        <v>-2.9657403046003867E-3</v>
      </c>
      <c r="X497" s="3">
        <v>-1.68937052617519E-2</v>
      </c>
      <c r="Y497" s="3">
        <v>-1.2988894417121038E-2</v>
      </c>
      <c r="Z497" s="3">
        <v>-8.0321285140561721E-3</v>
      </c>
      <c r="AA497" s="3">
        <v>4.7698645558034977E-2</v>
      </c>
      <c r="AB497" s="3">
        <v>4.100834862668943E-2</v>
      </c>
      <c r="AC497" s="3">
        <v>5.3671674072874861E-2</v>
      </c>
      <c r="AD497" s="3">
        <v>2.0316036644543237E-2</v>
      </c>
      <c r="AE497" s="3">
        <v>5.8297308079768427E-2</v>
      </c>
      <c r="AF497" s="3">
        <v>1.0040268976723762E-2</v>
      </c>
      <c r="AG497" s="3">
        <v>1.9650655021834187E-2</v>
      </c>
      <c r="AH497" s="3">
        <v>-6.7477077764219098E-3</v>
      </c>
      <c r="AI497" s="3">
        <v>2.6095493766537955E-2</v>
      </c>
      <c r="AJ497" s="3">
        <v>2.6045826088165434E-2</v>
      </c>
      <c r="AK497" s="3">
        <v>1.2658227848101276E-2</v>
      </c>
      <c r="AL497" s="3">
        <v>3.7632394637813558E-2</v>
      </c>
      <c r="AM497" s="3">
        <v>2.0713464269611931E-2</v>
      </c>
      <c r="AN497" s="3">
        <v>1.3480465122021234E-2</v>
      </c>
    </row>
    <row r="498" spans="1:40" x14ac:dyDescent="0.3">
      <c r="A498" s="101">
        <v>45033</v>
      </c>
      <c r="B498" s="3">
        <v>1.8757883251806325E-2</v>
      </c>
      <c r="C498" s="3">
        <v>-1.1692970468191568E-2</v>
      </c>
      <c r="D498" s="3">
        <v>-5.4876511944484572E-4</v>
      </c>
      <c r="E498" s="3">
        <v>-2.2054153139117834E-4</v>
      </c>
      <c r="G498" s="3">
        <v>-4.364922663259363E-2</v>
      </c>
      <c r="H498" s="3">
        <v>-4.3764617150569719E-3</v>
      </c>
      <c r="I498" s="3">
        <v>-2.6373186813187363E-3</v>
      </c>
      <c r="J498" s="3">
        <v>-1.4220402066286166E-2</v>
      </c>
      <c r="K498" s="3">
        <v>-5.4876511944484572E-4</v>
      </c>
      <c r="L498" s="3">
        <v>3.6604393200010763E-5</v>
      </c>
      <c r="M498" s="3">
        <v>7.3594558429972397E-3</v>
      </c>
      <c r="N498" s="3">
        <v>6.2444798256511636E-3</v>
      </c>
      <c r="O498" s="3">
        <v>-1.1692970468191568E-2</v>
      </c>
      <c r="P498" s="3">
        <v>4.3607532210109032E-2</v>
      </c>
      <c r="R498" s="3">
        <v>1.107694358974352E-2</v>
      </c>
      <c r="S498" s="3">
        <v>0</v>
      </c>
      <c r="T498" s="3">
        <v>-2.8220782595590995E-3</v>
      </c>
      <c r="U498" s="3">
        <v>-6.2466907561586635E-3</v>
      </c>
      <c r="V498" s="3">
        <v>2.7397260273972601E-2</v>
      </c>
      <c r="W498" s="3">
        <v>-1.1302668211542469E-2</v>
      </c>
      <c r="X498" s="3">
        <v>-3.8803490088498357E-3</v>
      </c>
      <c r="Y498" s="3">
        <v>-1.0793967573339032E-2</v>
      </c>
      <c r="Z498" s="3">
        <v>-1.3495276653171462E-2</v>
      </c>
      <c r="AA498" s="3">
        <v>-8.3286153714255268E-2</v>
      </c>
      <c r="AB498" s="3">
        <v>-5.5716215926170772E-2</v>
      </c>
      <c r="AC498" s="3">
        <v>-6.7723041623507535E-2</v>
      </c>
      <c r="AD498" s="3">
        <v>-2.8392366316736528E-2</v>
      </c>
      <c r="AE498" s="3">
        <v>-6.872106956238401E-2</v>
      </c>
      <c r="AF498" s="3">
        <v>-1.5242005609313635E-2</v>
      </c>
      <c r="AG498" s="3">
        <v>-1.9700256959314856E-2</v>
      </c>
      <c r="AH498" s="3">
        <v>-3.8722897510621822E-2</v>
      </c>
      <c r="AI498" s="3">
        <v>-4.6353047630622313E-2</v>
      </c>
      <c r="AJ498" s="3">
        <v>-5.8940143765096875E-2</v>
      </c>
      <c r="AK498" s="3">
        <v>1.8749999999999878E-2</v>
      </c>
      <c r="AL498" s="3">
        <v>-4.7550472303907083E-2</v>
      </c>
      <c r="AM498" s="3">
        <v>-7.6907937770401877E-2</v>
      </c>
      <c r="AN498" s="3">
        <v>-7.5610360060121992E-2</v>
      </c>
    </row>
    <row r="499" spans="1:40" x14ac:dyDescent="0.3">
      <c r="A499" s="101">
        <v>45034</v>
      </c>
      <c r="B499" s="3">
        <v>-2.6767697329722135E-2</v>
      </c>
      <c r="C499" s="3">
        <v>-5.5113782952015264E-3</v>
      </c>
      <c r="D499" s="3">
        <v>-2.2481221718731719E-3</v>
      </c>
      <c r="E499" s="3">
        <v>4.7802612721290714E-4</v>
      </c>
      <c r="G499" s="3">
        <v>-3.5154673953945441E-2</v>
      </c>
      <c r="H499" s="3">
        <v>-2.5284408059114737E-3</v>
      </c>
      <c r="I499" s="3">
        <v>2.644292523389543E-3</v>
      </c>
      <c r="J499" s="3">
        <v>-2.383302240030351E-3</v>
      </c>
      <c r="K499" s="3">
        <v>-2.2481221718731719E-3</v>
      </c>
      <c r="L499" s="3">
        <v>-2.2054153139117834E-4</v>
      </c>
      <c r="M499" s="3">
        <v>-2.3466837434883276E-2</v>
      </c>
      <c r="N499" s="3">
        <v>4.1371389269290433E-3</v>
      </c>
      <c r="O499" s="3">
        <v>-5.5113782952015264E-3</v>
      </c>
      <c r="P499" s="3">
        <v>3.1655587211147716E-4</v>
      </c>
      <c r="R499" s="3">
        <v>-5.883566527012175E-3</v>
      </c>
      <c r="S499" s="3">
        <v>1.4029180695847363E-2</v>
      </c>
      <c r="T499" s="3">
        <v>-8.8230231396704446E-3</v>
      </c>
      <c r="U499" s="3">
        <v>-1.1100642414095545E-2</v>
      </c>
      <c r="V499" s="3">
        <v>1.1111111111111111E-3</v>
      </c>
      <c r="W499" s="3">
        <v>-7.2202547871746299E-3</v>
      </c>
      <c r="X499" s="3">
        <v>0</v>
      </c>
      <c r="Y499" s="3">
        <v>6.5022046374691687E-3</v>
      </c>
      <c r="Z499" s="3">
        <v>-1.5047879616962988E-2</v>
      </c>
      <c r="AA499" s="3">
        <v>-8.7371808249961588E-3</v>
      </c>
      <c r="AB499" s="3">
        <v>4.7272487350156107E-3</v>
      </c>
      <c r="AC499" s="3">
        <v>-2.1653519404904564E-2</v>
      </c>
      <c r="AD499" s="3">
        <v>1.2523757462722003E-2</v>
      </c>
      <c r="AE499" s="3">
        <v>-5.4855980132434784E-2</v>
      </c>
      <c r="AF499" s="3">
        <v>-6.0901787644235469E-2</v>
      </c>
      <c r="AG499" s="3">
        <v>1.2669332139332998E-2</v>
      </c>
      <c r="AH499" s="3">
        <v>-2.897525289314334E-2</v>
      </c>
      <c r="AI499" s="3">
        <v>-3.8241046114034977E-2</v>
      </c>
      <c r="AJ499" s="3">
        <v>-3.4898420176308509E-2</v>
      </c>
      <c r="AK499" s="3">
        <v>0</v>
      </c>
      <c r="AL499" s="3">
        <v>-9.3064376115162082E-3</v>
      </c>
      <c r="AM499" s="3">
        <v>-3.9029342219597557E-2</v>
      </c>
      <c r="AN499" s="3">
        <v>-1.4041243465448746E-2</v>
      </c>
    </row>
    <row r="500" spans="1:40" x14ac:dyDescent="0.3">
      <c r="A500" s="101">
        <v>45035</v>
      </c>
      <c r="B500" s="3">
        <v>2.7026729383431043E-3</v>
      </c>
      <c r="C500" s="3">
        <v>-1.0197333740099016E-2</v>
      </c>
      <c r="D500" s="3">
        <v>2.6696313831343537E-3</v>
      </c>
      <c r="E500" s="3">
        <v>1.0805244752275577E-2</v>
      </c>
      <c r="G500" s="3">
        <v>1.7292287538108781E-3</v>
      </c>
      <c r="H500" s="3">
        <v>-4.0337757940142379E-3</v>
      </c>
      <c r="I500" s="3">
        <v>0</v>
      </c>
      <c r="J500" s="3">
        <v>-3.3949639755893879E-3</v>
      </c>
      <c r="K500" s="3">
        <v>2.6696313831343537E-3</v>
      </c>
      <c r="L500" s="3">
        <v>4.7802612721290714E-4</v>
      </c>
      <c r="M500" s="3">
        <v>3.8539559316718144E-3</v>
      </c>
      <c r="N500" s="3">
        <v>1.3469455775845997E-3</v>
      </c>
      <c r="O500" s="3">
        <v>-1.0197333740099016E-2</v>
      </c>
      <c r="P500" s="3">
        <v>0</v>
      </c>
      <c r="R500" s="3">
        <v>3.9795816326530925E-3</v>
      </c>
      <c r="S500" s="3">
        <v>4.9806308799114551E-3</v>
      </c>
      <c r="T500" s="3">
        <v>8.2297277757855582E-3</v>
      </c>
      <c r="U500" s="3">
        <v>-5.1393560957709167E-3</v>
      </c>
      <c r="V500" s="3">
        <v>-7.7691453940066596E-3</v>
      </c>
      <c r="W500" s="3">
        <v>1.0484827322825964E-2</v>
      </c>
      <c r="X500" s="3">
        <v>1.3912910793346623E-3</v>
      </c>
      <c r="Y500" s="3">
        <v>1.2623301590902302E-3</v>
      </c>
      <c r="Z500" s="3">
        <v>6.9444444444444198E-3</v>
      </c>
      <c r="AA500" s="3">
        <v>-9.0729489131013127E-2</v>
      </c>
      <c r="AB500" s="3">
        <v>-3.3189183353222899E-2</v>
      </c>
      <c r="AC500" s="3">
        <v>-3.7100637245902048E-2</v>
      </c>
      <c r="AD500" s="3">
        <v>-3.6731604645526016E-2</v>
      </c>
      <c r="AE500" s="3">
        <v>-9.3566093285839133E-2</v>
      </c>
      <c r="AF500" s="3">
        <v>-1.6839809040530659E-2</v>
      </c>
      <c r="AG500" s="3">
        <v>1.4667817083692832E-2</v>
      </c>
      <c r="AH500" s="3">
        <v>-8.7335093669122336E-3</v>
      </c>
      <c r="AI500" s="3">
        <v>-4.1017038360848648E-2</v>
      </c>
      <c r="AJ500" s="3">
        <v>-2.8648814369896688E-2</v>
      </c>
      <c r="AK500" s="3">
        <v>-6.1349693251533666E-2</v>
      </c>
      <c r="AL500" s="3">
        <v>-2.2272210884585458E-2</v>
      </c>
      <c r="AM500" s="3">
        <v>-4.3487843048638702E-2</v>
      </c>
      <c r="AN500" s="3">
        <v>-5.2133551609780643E-2</v>
      </c>
    </row>
    <row r="501" spans="1:40" x14ac:dyDescent="0.3">
      <c r="A501" s="101">
        <v>45036</v>
      </c>
      <c r="B501" s="3">
        <v>2.3783525440824412E-3</v>
      </c>
      <c r="C501" s="3">
        <v>3.1354691434043441E-3</v>
      </c>
      <c r="D501" s="3">
        <v>1.1939837643281039E-3</v>
      </c>
      <c r="E501" s="3">
        <v>1.8544497931532932E-3</v>
      </c>
      <c r="G501" s="3">
        <v>3.606430397355212E-2</v>
      </c>
      <c r="H501" s="3">
        <v>5.5015986408208095E-3</v>
      </c>
      <c r="I501" s="3">
        <v>0</v>
      </c>
      <c r="J501" s="3">
        <v>-8.5793458876951435E-3</v>
      </c>
      <c r="K501" s="3">
        <v>1.1939837643281039E-3</v>
      </c>
      <c r="L501" s="3">
        <v>1.0805244752275577E-2</v>
      </c>
      <c r="M501" s="3">
        <v>4.3134598986779647E-2</v>
      </c>
      <c r="N501" s="3">
        <v>-5.5387720890680118E-4</v>
      </c>
      <c r="O501" s="3">
        <v>3.1354691434043441E-3</v>
      </c>
      <c r="P501" s="3">
        <v>4.4303797468353487E-3</v>
      </c>
      <c r="R501" s="3">
        <v>-4.1569224937180856E-2</v>
      </c>
      <c r="S501" s="3">
        <v>4.1299559471365639E-3</v>
      </c>
      <c r="T501" s="3">
        <v>4.830934613209035E-3</v>
      </c>
      <c r="U501" s="3">
        <v>0</v>
      </c>
      <c r="V501" s="3">
        <v>6.7114093959731542E-3</v>
      </c>
      <c r="W501" s="3">
        <v>-2.4170804622943933E-2</v>
      </c>
      <c r="X501" s="3">
        <v>1.9727673257700942E-2</v>
      </c>
      <c r="Y501" s="3">
        <v>-9.8635496844720304E-3</v>
      </c>
      <c r="Z501" s="3">
        <v>-2.4827586206896513E-2</v>
      </c>
      <c r="AA501" s="3">
        <v>1.6427175676090578E-2</v>
      </c>
      <c r="AB501" s="3">
        <v>1.611194581860062E-2</v>
      </c>
      <c r="AC501" s="3">
        <v>7.3390089629832298E-3</v>
      </c>
      <c r="AD501" s="3">
        <v>-2.7238176616846332E-3</v>
      </c>
      <c r="AE501" s="3">
        <v>-4.4434250123080291E-2</v>
      </c>
      <c r="AF501" s="3">
        <v>-7.2886069674227207E-4</v>
      </c>
      <c r="AG501" s="3">
        <v>1.7431972789115652E-2</v>
      </c>
      <c r="AH501" s="3">
        <v>-2.1292317984412806E-2</v>
      </c>
      <c r="AI501" s="3">
        <v>4.1462261475926363E-3</v>
      </c>
      <c r="AJ501" s="3">
        <v>-1.5466178124985949E-2</v>
      </c>
      <c r="AK501" s="3">
        <v>-3.9215686274509838E-2</v>
      </c>
      <c r="AL501" s="3">
        <v>1.3268923985709691E-2</v>
      </c>
      <c r="AM501" s="3">
        <v>2.6343141778978209E-2</v>
      </c>
      <c r="AN501" s="3">
        <v>6.4344740145198494E-4</v>
      </c>
    </row>
    <row r="502" spans="1:40" x14ac:dyDescent="0.3">
      <c r="A502" s="101">
        <v>45037</v>
      </c>
      <c r="B502" s="3">
        <v>8.3833738163724813E-3</v>
      </c>
      <c r="C502" s="3">
        <v>-6.2513298805169492E-3</v>
      </c>
      <c r="D502" s="3">
        <v>2.3556893462642631E-3</v>
      </c>
      <c r="E502" s="3">
        <v>2.7943039986790407E-3</v>
      </c>
      <c r="G502" s="3">
        <v>-2.4515030638046387E-2</v>
      </c>
      <c r="H502" s="3">
        <v>1.5233711071715691E-3</v>
      </c>
      <c r="I502" s="3">
        <v>0</v>
      </c>
      <c r="J502" s="3">
        <v>-3.0542734418727725E-3</v>
      </c>
      <c r="K502" s="3">
        <v>2.3556893462642631E-3</v>
      </c>
      <c r="L502" s="3">
        <v>1.8544497931532932E-3</v>
      </c>
      <c r="M502" s="3">
        <v>1.2340312022955506E-2</v>
      </c>
      <c r="N502" s="3">
        <v>-1.3300617738906069E-2</v>
      </c>
      <c r="O502" s="3">
        <v>-6.2513298805169492E-3</v>
      </c>
      <c r="P502" s="3">
        <v>1.5753308128544973E-3</v>
      </c>
      <c r="R502" s="3">
        <v>-3.0752925850914374E-2</v>
      </c>
      <c r="S502" s="3">
        <v>0</v>
      </c>
      <c r="T502" s="3">
        <v>3.3156498673745234E-4</v>
      </c>
      <c r="U502" s="3">
        <v>1.3050557722962562E-2</v>
      </c>
      <c r="V502" s="3">
        <v>-0.03</v>
      </c>
      <c r="W502" s="3">
        <v>-1.229327941793005E-3</v>
      </c>
      <c r="X502" s="3">
        <v>6.8119889152046614E-2</v>
      </c>
      <c r="Y502" s="3">
        <v>3.820006135121169E-3</v>
      </c>
      <c r="Z502" s="3">
        <v>-2.828854314002894E-3</v>
      </c>
      <c r="AA502" s="3">
        <v>-8.2545828625396792E-2</v>
      </c>
      <c r="AB502" s="3">
        <v>-5.1841267350661149E-2</v>
      </c>
      <c r="AC502" s="3">
        <v>-4.5079632028726481E-2</v>
      </c>
      <c r="AD502" s="3">
        <v>-3.511511747170367E-2</v>
      </c>
      <c r="AE502" s="3">
        <v>-6.1404576317947678E-2</v>
      </c>
      <c r="AF502" s="3">
        <v>-2.6622838821148548E-2</v>
      </c>
      <c r="AG502" s="3">
        <v>3.3430839949854514E-3</v>
      </c>
      <c r="AH502" s="3">
        <v>2.9257345751399655E-2</v>
      </c>
      <c r="AI502" s="3">
        <v>1.2169994698985505E-2</v>
      </c>
      <c r="AJ502" s="3">
        <v>-1.4339217317390456E-2</v>
      </c>
      <c r="AK502" s="3">
        <v>-1.360544217687076E-2</v>
      </c>
      <c r="AL502" s="3">
        <v>-5.4414339083880912E-3</v>
      </c>
      <c r="AM502" s="3">
        <v>-6.3548400010167733E-2</v>
      </c>
      <c r="AN502" s="3">
        <v>-3.203225243634205E-2</v>
      </c>
    </row>
    <row r="503" spans="1:40" x14ac:dyDescent="0.3">
      <c r="A503" s="101">
        <v>45040</v>
      </c>
      <c r="B503" s="3">
        <v>1.6627370168759203E-2</v>
      </c>
      <c r="C503" s="3">
        <v>4.0065815556332013E-2</v>
      </c>
      <c r="D503" s="3">
        <v>-7.7745184749902141E-3</v>
      </c>
      <c r="E503" s="3">
        <v>2.1715391194458322E-3</v>
      </c>
      <c r="G503" s="3">
        <v>-2.8791026853836423E-2</v>
      </c>
      <c r="H503" s="3">
        <v>-5.0081864586343739E-3</v>
      </c>
      <c r="I503" s="3">
        <v>0</v>
      </c>
      <c r="J503" s="3">
        <v>1.0339590209904648E-2</v>
      </c>
      <c r="K503" s="3">
        <v>-7.7745184749902141E-3</v>
      </c>
      <c r="L503" s="3">
        <v>2.7943039986790407E-3</v>
      </c>
      <c r="M503" s="3">
        <v>-2.4807528862597548E-2</v>
      </c>
      <c r="N503" s="3">
        <v>8.7459201334971811E-3</v>
      </c>
      <c r="O503" s="3">
        <v>4.0065815556332013E-2</v>
      </c>
      <c r="P503" s="3">
        <v>-2.2019533752137985E-2</v>
      </c>
      <c r="R503" s="3">
        <v>-1.444201281308514E-2</v>
      </c>
      <c r="S503" s="3">
        <v>-2.1113243761996161E-2</v>
      </c>
      <c r="T503" s="3">
        <v>-1.408680808750425E-2</v>
      </c>
      <c r="U503" s="3">
        <v>-1.1674651570369801E-2</v>
      </c>
      <c r="V503" s="3">
        <v>9.1638029782359683E-3</v>
      </c>
      <c r="W503" s="3">
        <v>1.1692370929318487E-2</v>
      </c>
      <c r="X503" s="3">
        <v>2.5505101390183791E-4</v>
      </c>
      <c r="Y503" s="3">
        <v>2.6115504369034342E-2</v>
      </c>
      <c r="Z503" s="3">
        <v>2.6950354609929134E-2</v>
      </c>
      <c r="AA503" s="3">
        <v>-8.1743867427926595E-3</v>
      </c>
      <c r="AB503" s="3">
        <v>-2.6894288185786975E-2</v>
      </c>
      <c r="AC503" s="3">
        <v>1.3245734522471799E-2</v>
      </c>
      <c r="AD503" s="3">
        <v>1.4557307664653213E-2</v>
      </c>
      <c r="AE503" s="3">
        <v>0.11153453872542513</v>
      </c>
      <c r="AF503" s="3">
        <v>1.6110831945021126E-2</v>
      </c>
      <c r="AG503" s="3">
        <v>2.6239025406080713E-2</v>
      </c>
      <c r="AH503" s="3">
        <v>-4.305514597463872E-2</v>
      </c>
      <c r="AI503" s="3">
        <v>-3.3279790883688309E-3</v>
      </c>
      <c r="AJ503" s="3">
        <v>-1.8538649509193756E-4</v>
      </c>
      <c r="AK503" s="3">
        <v>0</v>
      </c>
      <c r="AL503" s="3">
        <v>-7.0199103817965586E-3</v>
      </c>
      <c r="AM503" s="3">
        <v>4.7724969878132288E-2</v>
      </c>
      <c r="AN503" s="3">
        <v>1.4790399445955392E-2</v>
      </c>
    </row>
    <row r="504" spans="1:40" x14ac:dyDescent="0.3">
      <c r="A504" s="101">
        <v>45041</v>
      </c>
      <c r="B504" s="3">
        <v>-1.851424783839861E-3</v>
      </c>
      <c r="C504" s="3">
        <v>-6.4082028283728052E-3</v>
      </c>
      <c r="D504" s="3">
        <v>4.7593291974383917E-3</v>
      </c>
      <c r="E504" s="3">
        <v>-7.2220358166896368E-4</v>
      </c>
      <c r="G504" s="3">
        <v>-4.3650276073041831E-2</v>
      </c>
      <c r="H504" s="3">
        <v>-2.3531453709792092E-3</v>
      </c>
      <c r="I504" s="3">
        <v>-4.395604395605083E-4</v>
      </c>
      <c r="J504" s="3">
        <v>5.0536817516873339E-3</v>
      </c>
      <c r="K504" s="3">
        <v>4.7593291974383917E-3</v>
      </c>
      <c r="L504" s="3">
        <v>2.1715391194458322E-3</v>
      </c>
      <c r="M504" s="3">
        <v>-1.7982434999229666E-2</v>
      </c>
      <c r="N504" s="3">
        <v>-1.0101845290313036E-2</v>
      </c>
      <c r="O504" s="3">
        <v>-6.4082028283728052E-3</v>
      </c>
      <c r="P504" s="3">
        <v>9.649372788678022E-3</v>
      </c>
      <c r="R504" s="3">
        <v>-6.4387431962978116E-3</v>
      </c>
      <c r="S504" s="3">
        <v>0</v>
      </c>
      <c r="T504" s="3">
        <v>-1.1767355462519113E-3</v>
      </c>
      <c r="U504" s="3">
        <v>-2.0366869779582714E-3</v>
      </c>
      <c r="V504" s="3">
        <v>2.043132803632236E-2</v>
      </c>
      <c r="W504" s="3">
        <v>1.6909988778072281E-2</v>
      </c>
      <c r="X504" s="3">
        <v>-2.8054323592307156E-3</v>
      </c>
      <c r="Y504" s="3">
        <v>-1.3816317224655743E-3</v>
      </c>
      <c r="Z504" s="3">
        <v>2.7624309392264602E-3</v>
      </c>
      <c r="AA504" s="3">
        <v>5.7129093524635181E-2</v>
      </c>
      <c r="AB504" s="3">
        <v>3.1916516006178536E-2</v>
      </c>
      <c r="AC504" s="3">
        <v>3.8590199785865892E-2</v>
      </c>
      <c r="AD504" s="3">
        <v>2.1522447639467819E-2</v>
      </c>
      <c r="AE504" s="3">
        <v>0.11817138285714285</v>
      </c>
      <c r="AF504" s="3">
        <v>4.5354091250012406E-2</v>
      </c>
      <c r="AG504" s="3">
        <v>-2.4350244494734455E-3</v>
      </c>
      <c r="AH504" s="3">
        <v>5.2388289676425247E-2</v>
      </c>
      <c r="AI504" s="3">
        <v>4.1211164904306131E-2</v>
      </c>
      <c r="AJ504" s="3">
        <v>4.7358747055425574E-2</v>
      </c>
      <c r="AK504" s="3">
        <v>0</v>
      </c>
      <c r="AL504" s="3">
        <v>2.9643604343096906E-2</v>
      </c>
      <c r="AM504" s="3">
        <v>7.6472957104847084E-2</v>
      </c>
      <c r="AN504" s="3">
        <v>5.7275559630809172E-2</v>
      </c>
    </row>
    <row r="505" spans="1:40" x14ac:dyDescent="0.3">
      <c r="A505" s="101">
        <v>45042</v>
      </c>
      <c r="B505" s="3">
        <v>1.2366585877172837E-2</v>
      </c>
      <c r="C505" s="3">
        <v>-1.1160326233201493E-2</v>
      </c>
      <c r="D505" s="3">
        <v>1.3491083275217535E-3</v>
      </c>
      <c r="E505" s="3">
        <v>-1.2576315535126909E-2</v>
      </c>
      <c r="G505" s="3">
        <v>-1.8979437342104416E-2</v>
      </c>
      <c r="H505" s="3">
        <v>-5.3196116348931677E-4</v>
      </c>
      <c r="I505" s="3">
        <v>0</v>
      </c>
      <c r="J505" s="3">
        <v>-8.7995369354413443E-3</v>
      </c>
      <c r="K505" s="3">
        <v>1.3491083275217535E-3</v>
      </c>
      <c r="L505" s="3">
        <v>-7.2220358166896368E-4</v>
      </c>
      <c r="M505" s="3">
        <v>-1.607856221702901E-2</v>
      </c>
      <c r="N505" s="3">
        <v>1.1651306026146425E-2</v>
      </c>
      <c r="O505" s="3">
        <v>-1.1160326233201493E-2</v>
      </c>
      <c r="P505" s="3">
        <v>7.6457472967744276E-3</v>
      </c>
      <c r="R505" s="3">
        <v>0</v>
      </c>
      <c r="S505" s="3">
        <v>-7.0028011204481795E-3</v>
      </c>
      <c r="T505" s="3">
        <v>-2.8609560033980418E-3</v>
      </c>
      <c r="U505" s="3">
        <v>1.4966122448979171E-3</v>
      </c>
      <c r="W505" s="3">
        <v>-6.4601246675167886E-3</v>
      </c>
      <c r="X505" s="3">
        <v>-1.5345218176225977E-2</v>
      </c>
      <c r="Y505" s="3">
        <v>-4.6603072211417775E-3</v>
      </c>
      <c r="Z505" s="3">
        <v>8.264462809917425E-3</v>
      </c>
      <c r="AA505" s="3">
        <v>-5.8758562580433292E-2</v>
      </c>
      <c r="AB505" s="3">
        <v>-1.0672307855562479E-2</v>
      </c>
      <c r="AC505" s="3">
        <v>7.1493204901149103E-3</v>
      </c>
      <c r="AD505" s="3">
        <v>-3.862656988843232E-2</v>
      </c>
      <c r="AE505" s="3">
        <v>-4.681106078540722E-2</v>
      </c>
      <c r="AF505" s="3">
        <v>-1.1640266270574616E-2</v>
      </c>
      <c r="AG505" s="3">
        <v>-4.0683482506094433E-4</v>
      </c>
      <c r="AH505" s="3">
        <v>7.320644216691043E-3</v>
      </c>
      <c r="AI505" s="3">
        <v>-7.0697638794000551E-3</v>
      </c>
      <c r="AJ505" s="3">
        <v>-3.628065311994653E-3</v>
      </c>
      <c r="AK505" s="3">
        <v>-4.1379310344827627E-2</v>
      </c>
      <c r="AL505" s="3">
        <v>-1.4787731723562993E-2</v>
      </c>
      <c r="AM505" s="3">
        <v>-6.022191462492949E-3</v>
      </c>
      <c r="AN505" s="3">
        <v>-1.9853159966388083E-2</v>
      </c>
    </row>
    <row r="506" spans="1:40" x14ac:dyDescent="0.3">
      <c r="A506" s="101">
        <v>45043</v>
      </c>
      <c r="B506" s="3">
        <v>-4.3212661407149612E-2</v>
      </c>
      <c r="C506" s="3">
        <v>-1.0260171315412337E-2</v>
      </c>
      <c r="D506" s="3">
        <v>-4.6711277108334205E-3</v>
      </c>
      <c r="E506" s="3">
        <v>1.6615933418543331E-2</v>
      </c>
      <c r="G506" s="3">
        <v>-3.487753933332656E-2</v>
      </c>
      <c r="H506" s="3">
        <v>-2.8185515590741271E-3</v>
      </c>
      <c r="I506" s="3">
        <v>0</v>
      </c>
      <c r="J506" s="3">
        <v>-2.6632211362202941E-3</v>
      </c>
      <c r="K506" s="3">
        <v>-4.6711277108334205E-3</v>
      </c>
      <c r="L506" s="3">
        <v>-1.2576315535126909E-2</v>
      </c>
      <c r="M506" s="3">
        <v>-1.543349942275307E-2</v>
      </c>
      <c r="N506" s="3">
        <v>-1.0325686889186874E-2</v>
      </c>
      <c r="O506" s="3">
        <v>-1.0260171315412337E-2</v>
      </c>
      <c r="P506" s="3">
        <v>-8.5361368490717016E-3</v>
      </c>
      <c r="R506" s="3">
        <v>-1.5642480446927381E-2</v>
      </c>
      <c r="S506" s="3">
        <v>0</v>
      </c>
      <c r="T506" s="3">
        <v>-2.7173012658227795E-2</v>
      </c>
      <c r="U506" s="3">
        <v>-2.8528596270498119E-3</v>
      </c>
      <c r="W506" s="3">
        <v>-3.010250917992729E-3</v>
      </c>
      <c r="X506" s="3">
        <v>1.0129844155844236E-2</v>
      </c>
      <c r="Y506" s="3">
        <v>-1.119319611978648E-2</v>
      </c>
      <c r="Z506" s="3">
        <v>-2.0491803278688572E-2</v>
      </c>
      <c r="AA506" s="3">
        <v>5.1410177474289241E-2</v>
      </c>
      <c r="AB506" s="3">
        <v>2.5422574628116625E-2</v>
      </c>
      <c r="AC506" s="3">
        <v>1.2897430965216936E-2</v>
      </c>
      <c r="AD506" s="3">
        <v>2.2727301714269774E-2</v>
      </c>
      <c r="AE506" s="3">
        <v>4.7179947519194784E-2</v>
      </c>
      <c r="AF506" s="3">
        <v>0.15346173672002761</v>
      </c>
      <c r="AG506" s="3">
        <v>1.3838013838013832E-2</v>
      </c>
      <c r="AH506" s="3">
        <v>2.4709302325581384E-2</v>
      </c>
      <c r="AI506" s="3">
        <v>3.1243401614377123E-2</v>
      </c>
      <c r="AJ506" s="3">
        <v>2.9307369143865863E-2</v>
      </c>
      <c r="AK506" s="3">
        <v>4.3165467625899324E-2</v>
      </c>
      <c r="AL506" s="3">
        <v>1.6629979747022326E-2</v>
      </c>
      <c r="AM506" s="3">
        <v>2.1714670036852467E-2</v>
      </c>
      <c r="AN506" s="3">
        <v>4.1133276709939208E-2</v>
      </c>
    </row>
  </sheetData>
  <mergeCells count="1">
    <mergeCell ref="B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H515"/>
  <sheetViews>
    <sheetView workbookViewId="0">
      <selection activeCell="C6" sqref="C6:C509"/>
    </sheetView>
  </sheetViews>
  <sheetFormatPr baseColWidth="10" defaultRowHeight="16.5" x14ac:dyDescent="0.3"/>
  <cols>
    <col min="1" max="1" width="13.85546875" style="6" bestFit="1" customWidth="1"/>
    <col min="2" max="11" width="17.7109375" style="6" customWidth="1"/>
    <col min="12" max="34" width="11.42578125" style="33"/>
  </cols>
  <sheetData>
    <row r="1" spans="1:34" ht="22.5" x14ac:dyDescent="0.25">
      <c r="A1" s="155" t="s">
        <v>32</v>
      </c>
      <c r="B1" s="155"/>
      <c r="C1" s="155"/>
      <c r="D1" s="155"/>
      <c r="E1" s="155"/>
      <c r="F1" s="155"/>
      <c r="G1" s="155"/>
      <c r="H1" s="155"/>
      <c r="I1" s="155"/>
      <c r="J1" s="155"/>
      <c r="K1" s="155"/>
    </row>
    <row r="2" spans="1:34" ht="22.5" x14ac:dyDescent="0.25">
      <c r="A2" s="155" t="s">
        <v>33</v>
      </c>
      <c r="B2" s="155"/>
      <c r="C2" s="155"/>
      <c r="D2" s="155"/>
      <c r="E2" s="155"/>
      <c r="F2" s="155"/>
      <c r="G2" s="155"/>
      <c r="H2" s="155"/>
      <c r="I2" s="155"/>
      <c r="J2" s="155"/>
      <c r="K2" s="155"/>
    </row>
    <row r="3" spans="1:34" ht="24" x14ac:dyDescent="0.25">
      <c r="A3" s="154" t="s">
        <v>31</v>
      </c>
      <c r="B3" s="154"/>
      <c r="C3" s="154"/>
      <c r="D3" s="154"/>
      <c r="E3" s="154"/>
      <c r="F3" s="154"/>
      <c r="G3" s="154"/>
      <c r="H3" s="154"/>
      <c r="I3" s="154"/>
      <c r="J3" s="154"/>
      <c r="K3" s="154"/>
    </row>
    <row r="4" spans="1:34" s="35" customFormat="1" ht="74.25" thickBot="1" x14ac:dyDescent="0.95">
      <c r="A4" s="156"/>
      <c r="B4" s="156"/>
      <c r="C4" s="156"/>
      <c r="D4" s="156"/>
      <c r="E4" s="156"/>
      <c r="F4" s="156"/>
      <c r="G4" s="156"/>
      <c r="H4" s="156"/>
      <c r="I4" s="156"/>
      <c r="J4" s="156"/>
      <c r="K4" s="156"/>
      <c r="L4" s="34"/>
      <c r="M4" s="34"/>
      <c r="N4" s="34"/>
      <c r="O4" s="34"/>
      <c r="P4" s="34"/>
      <c r="Q4" s="34"/>
      <c r="R4" s="34"/>
      <c r="S4" s="34"/>
      <c r="T4" s="34"/>
      <c r="U4" s="34"/>
      <c r="V4" s="34"/>
      <c r="W4" s="34"/>
      <c r="X4" s="34"/>
      <c r="Y4" s="34"/>
      <c r="Z4" s="34"/>
      <c r="AA4" s="34"/>
      <c r="AB4" s="34"/>
      <c r="AC4" s="34"/>
      <c r="AD4" s="34"/>
      <c r="AE4" s="34"/>
      <c r="AF4" s="34"/>
      <c r="AG4" s="34"/>
      <c r="AH4" s="34"/>
    </row>
    <row r="5" spans="1:34" ht="17.25" thickBot="1" x14ac:dyDescent="0.3">
      <c r="A5" s="1" t="s">
        <v>25</v>
      </c>
      <c r="B5" s="36" t="s">
        <v>0</v>
      </c>
      <c r="C5" s="37" t="s">
        <v>1</v>
      </c>
      <c r="D5" s="36" t="s">
        <v>2</v>
      </c>
      <c r="E5" s="37" t="s">
        <v>3</v>
      </c>
      <c r="F5" s="36" t="s">
        <v>24</v>
      </c>
      <c r="G5" s="37" t="s">
        <v>4</v>
      </c>
      <c r="H5" s="36" t="s">
        <v>5</v>
      </c>
      <c r="I5" s="37" t="s">
        <v>6</v>
      </c>
      <c r="J5" s="36" t="s">
        <v>7</v>
      </c>
      <c r="K5" s="37" t="s">
        <v>10</v>
      </c>
    </row>
    <row r="6" spans="1:34" x14ac:dyDescent="0.3">
      <c r="A6" s="4">
        <v>44319</v>
      </c>
      <c r="B6" s="102">
        <v>4.1402334611266986E-3</v>
      </c>
      <c r="C6" s="102">
        <v>9.1129238806477719E-3</v>
      </c>
      <c r="D6" s="102">
        <v>-1.075266423476492E-2</v>
      </c>
      <c r="E6" s="102">
        <v>-2.2066045795234822E-2</v>
      </c>
      <c r="F6" s="102">
        <v>3.5023313203854782E-3</v>
      </c>
      <c r="G6" s="102">
        <v>-9.2383495929827825E-3</v>
      </c>
      <c r="H6" s="102">
        <v>-4.8044929125074963E-3</v>
      </c>
      <c r="I6" s="102">
        <v>-1.9480251224259252E-3</v>
      </c>
      <c r="J6" s="102">
        <v>-1.192410316408171E-2</v>
      </c>
      <c r="K6" s="102">
        <v>0.43441636582430804</v>
      </c>
    </row>
    <row r="7" spans="1:34" x14ac:dyDescent="0.3">
      <c r="A7" s="4">
        <v>44320</v>
      </c>
      <c r="B7" s="102">
        <v>-4.4402175786084193E-2</v>
      </c>
      <c r="C7" s="102">
        <v>-3.4117208458533245E-3</v>
      </c>
      <c r="D7" s="102">
        <v>6.2499648380581627E-2</v>
      </c>
      <c r="E7" s="102">
        <v>-3.7029526108649E-2</v>
      </c>
      <c r="F7" s="102">
        <v>4.8142817815876844E-3</v>
      </c>
      <c r="G7" s="102">
        <v>-4.2565376803851585E-2</v>
      </c>
      <c r="H7" s="102">
        <v>-1.0436153929404926E-4</v>
      </c>
      <c r="I7" s="102">
        <v>3.3181597860248532E-2</v>
      </c>
      <c r="J7" s="102">
        <v>-3.7986880591404731E-2</v>
      </c>
      <c r="K7" s="102">
        <v>-0.76929530201342278</v>
      </c>
    </row>
    <row r="8" spans="1:34" x14ac:dyDescent="0.3">
      <c r="A8" s="4">
        <v>44321</v>
      </c>
      <c r="B8" s="102">
        <v>-1.4603315098289807E-2</v>
      </c>
      <c r="C8" s="102">
        <v>1.8123332053406497E-2</v>
      </c>
      <c r="D8" s="102">
        <v>2.5577384096273051E-3</v>
      </c>
      <c r="E8" s="102">
        <v>1.2377026781743062E-2</v>
      </c>
      <c r="F8" s="102">
        <v>8.5040027591690801E-3</v>
      </c>
      <c r="G8" s="102">
        <v>1.9403762523372222E-2</v>
      </c>
      <c r="H8" s="102">
        <v>-9.5056225815554167E-3</v>
      </c>
      <c r="I8" s="102">
        <v>1.5742983712395065E-2</v>
      </c>
      <c r="J8" s="102">
        <v>-3.6778298460541411E-2</v>
      </c>
      <c r="K8" s="102">
        <v>1.1636363636363636</v>
      </c>
    </row>
    <row r="9" spans="1:34" x14ac:dyDescent="0.3">
      <c r="A9" s="4">
        <v>44322</v>
      </c>
      <c r="B9" s="102">
        <v>3.8733541868370032E-2</v>
      </c>
      <c r="C9" s="102">
        <v>7.3179646546725216E-3</v>
      </c>
      <c r="D9" s="102">
        <v>-4.0816240302564769E-2</v>
      </c>
      <c r="E9" s="102">
        <v>-2.3615446974354873E-2</v>
      </c>
      <c r="F9" s="102">
        <v>7.1261640105965999E-4</v>
      </c>
      <c r="G9" s="102">
        <v>1.6190206249643058E-2</v>
      </c>
      <c r="H9" s="102">
        <v>-2.7631424891699633E-3</v>
      </c>
      <c r="I9" s="102">
        <v>-2.2938561586717011E-2</v>
      </c>
      <c r="J9" s="102">
        <v>7.2073441315790091E-2</v>
      </c>
      <c r="K9" s="102">
        <v>0.93781512605042017</v>
      </c>
    </row>
    <row r="10" spans="1:34" x14ac:dyDescent="0.3">
      <c r="A10" s="4">
        <v>44323</v>
      </c>
      <c r="B10" s="102">
        <v>1.0376118741975209E-2</v>
      </c>
      <c r="C10" s="102">
        <v>1.9637011187758382E-4</v>
      </c>
      <c r="D10" s="102">
        <v>3.4574323107749445E-2</v>
      </c>
      <c r="E10" s="102">
        <v>2.0601362266484034E-2</v>
      </c>
      <c r="F10" s="102">
        <v>-1.6378035533472987E-2</v>
      </c>
      <c r="G10" s="102">
        <v>-1.5645127476536076E-2</v>
      </c>
      <c r="H10" s="102">
        <v>1.2981269714545184E-2</v>
      </c>
      <c r="I10" s="102">
        <v>-1.5862919538267805E-2</v>
      </c>
      <c r="J10" s="102">
        <v>-9.1109501957081663E-3</v>
      </c>
      <c r="K10" s="102">
        <v>-2.4284475281873375E-2</v>
      </c>
    </row>
    <row r="11" spans="1:34" x14ac:dyDescent="0.3">
      <c r="A11" s="4">
        <v>44326</v>
      </c>
      <c r="B11" s="102">
        <v>2.7599471440081312E-2</v>
      </c>
      <c r="C11" s="102">
        <v>0</v>
      </c>
      <c r="D11" s="102">
        <v>-3.5989509945194655E-2</v>
      </c>
      <c r="E11" s="102">
        <v>-1.2058573624374291E-3</v>
      </c>
      <c r="F11" s="102">
        <v>-1.0859013924767059E-2</v>
      </c>
      <c r="G11" s="102">
        <v>5.1691424564263018E-2</v>
      </c>
      <c r="H11" s="102">
        <v>5.7951081560354389E-4</v>
      </c>
      <c r="I11" s="102">
        <v>-1.4184464620776303E-2</v>
      </c>
      <c r="J11" s="102">
        <v>5.0013929475747503E-2</v>
      </c>
      <c r="K11" s="102">
        <v>-0.56799999999999995</v>
      </c>
    </row>
    <row r="12" spans="1:34" x14ac:dyDescent="0.3">
      <c r="A12" s="4">
        <v>44327</v>
      </c>
      <c r="B12" s="102">
        <v>-3.3728921354233173E-2</v>
      </c>
      <c r="C12" s="102">
        <v>7.2635930437080325E-3</v>
      </c>
      <c r="D12" s="102">
        <v>-4.0000253961103113E-2</v>
      </c>
      <c r="E12" s="102">
        <v>-2.4724299129818134E-2</v>
      </c>
      <c r="F12" s="102">
        <v>4.5133284574873696E-3</v>
      </c>
      <c r="G12" s="102">
        <v>2.6551140381282548E-2</v>
      </c>
      <c r="H12" s="102">
        <v>1.0622072752124578E-2</v>
      </c>
      <c r="I12" s="102">
        <v>-9.810332149060845E-3</v>
      </c>
      <c r="J12" s="102">
        <v>-4.0201686909703917E-2</v>
      </c>
      <c r="K12" s="102">
        <v>23.746913580246915</v>
      </c>
    </row>
    <row r="13" spans="1:34" x14ac:dyDescent="0.3">
      <c r="A13" s="4">
        <v>44328</v>
      </c>
      <c r="B13" s="102">
        <v>-3.361352166201291E-2</v>
      </c>
      <c r="C13" s="102">
        <v>-9.1601350349660195E-3</v>
      </c>
      <c r="D13" s="102">
        <v>3.8888954385617881E-2</v>
      </c>
      <c r="E13" s="102">
        <v>-2.9764876774037594E-2</v>
      </c>
      <c r="F13" s="102">
        <v>-1.9064897573048342E-2</v>
      </c>
      <c r="G13" s="102">
        <v>-1.9854152892299519E-2</v>
      </c>
      <c r="H13" s="102">
        <v>-5.2265607091006019E-3</v>
      </c>
      <c r="I13" s="102">
        <v>1.0568088822858387E-2</v>
      </c>
      <c r="J13" s="102">
        <v>2.3499431410823751E-3</v>
      </c>
      <c r="K13" s="102">
        <v>-0.93747401679554332</v>
      </c>
    </row>
    <row r="14" spans="1:34" x14ac:dyDescent="0.3">
      <c r="A14" s="4">
        <v>44329</v>
      </c>
      <c r="B14" s="102">
        <v>-9.866213628835703E-2</v>
      </c>
      <c r="C14" s="102">
        <v>-2.8324112649459027E-2</v>
      </c>
      <c r="D14" s="102">
        <v>-2.6738050801272423E-2</v>
      </c>
      <c r="E14" s="102">
        <v>1.054057819129009E-2</v>
      </c>
      <c r="F14" s="102">
        <v>1.7083417468811035E-2</v>
      </c>
      <c r="G14" s="102">
        <v>-3.6929861078474902E-2</v>
      </c>
      <c r="H14" s="102">
        <v>-3.633263177300265E-3</v>
      </c>
      <c r="I14" s="102">
        <v>-9.1504008460390404E-3</v>
      </c>
      <c r="J14" s="102">
        <v>-3.4753940628678759E-2</v>
      </c>
      <c r="K14" s="102">
        <v>-5.9840425531914897E-2</v>
      </c>
    </row>
    <row r="15" spans="1:34" x14ac:dyDescent="0.3">
      <c r="A15" s="4">
        <v>44330</v>
      </c>
      <c r="B15" s="102">
        <v>4.3042698741546752E-2</v>
      </c>
      <c r="C15" s="102">
        <v>3.6437882467025683E-3</v>
      </c>
      <c r="D15" s="102">
        <v>1.0989273499873971E-2</v>
      </c>
      <c r="E15" s="102">
        <v>1.3614183024037531E-2</v>
      </c>
      <c r="F15" s="102">
        <v>-6.0861198919929366E-4</v>
      </c>
      <c r="G15" s="102">
        <v>1.5166654851671509E-2</v>
      </c>
      <c r="H15" s="102">
        <v>-1.8845451111299431E-2</v>
      </c>
      <c r="I15" s="102">
        <v>1.5171632693331759E-2</v>
      </c>
      <c r="J15" s="102">
        <v>2.6003819665139635E-2</v>
      </c>
      <c r="K15" s="102">
        <v>0.43988684582743987</v>
      </c>
    </row>
    <row r="16" spans="1:34" x14ac:dyDescent="0.3">
      <c r="A16" s="4">
        <v>44333</v>
      </c>
      <c r="B16" s="102">
        <v>-5.6919344733542604E-3</v>
      </c>
      <c r="C16" s="102">
        <v>-4.6391034347438593E-3</v>
      </c>
      <c r="D16" s="102">
        <v>-8.1522258915661758E-3</v>
      </c>
      <c r="E16" s="102">
        <v>-4.9068396630103671E-2</v>
      </c>
      <c r="F16" s="102">
        <v>5.6022550694983875E-3</v>
      </c>
      <c r="G16" s="102">
        <v>-4.8202933680180318E-2</v>
      </c>
      <c r="H16" s="102">
        <v>7.8338316236932423E-3</v>
      </c>
      <c r="I16" s="102">
        <v>1.2345640386867926E-2</v>
      </c>
      <c r="J16" s="102">
        <v>-4.0523669938192883E-2</v>
      </c>
      <c r="K16" s="102">
        <v>-0.43713163064833005</v>
      </c>
    </row>
    <row r="17" spans="1:11" x14ac:dyDescent="0.3">
      <c r="A17" s="4">
        <v>44334</v>
      </c>
      <c r="B17" s="102">
        <v>4.2933603140402421E-3</v>
      </c>
      <c r="C17" s="102">
        <v>1.2158404191477932E-3</v>
      </c>
      <c r="D17" s="102">
        <v>-4.1096154593350726E-2</v>
      </c>
      <c r="E17" s="102">
        <v>-1.8339371391749536E-2</v>
      </c>
      <c r="F17" s="102">
        <v>-2.4100709177504901E-2</v>
      </c>
      <c r="G17" s="102">
        <v>-5.9751222564063768E-2</v>
      </c>
      <c r="H17" s="102">
        <v>-2.0402992230958462E-2</v>
      </c>
      <c r="I17" s="102">
        <v>-2.2464781179771E-2</v>
      </c>
      <c r="J17" s="102">
        <v>-7.2713970416306575E-2</v>
      </c>
      <c r="K17" s="102">
        <v>-0.31413612565445026</v>
      </c>
    </row>
    <row r="18" spans="1:11" x14ac:dyDescent="0.3">
      <c r="A18" s="4">
        <v>44335</v>
      </c>
      <c r="B18" s="102">
        <v>5.0587779152375348E-2</v>
      </c>
      <c r="C18" s="102">
        <v>2.0036524401811397E-2</v>
      </c>
      <c r="D18" s="102">
        <v>3.7143007559091792E-2</v>
      </c>
      <c r="E18" s="102">
        <v>1.1719887077500064E-2</v>
      </c>
      <c r="F18" s="102">
        <v>1.8863125388187837E-2</v>
      </c>
      <c r="G18" s="102">
        <v>3.5987086164061578E-2</v>
      </c>
      <c r="H18" s="102">
        <v>-3.0648993024190534E-2</v>
      </c>
      <c r="I18" s="102">
        <v>-1.1818750282519984E-2</v>
      </c>
      <c r="J18" s="102">
        <v>8.1546334562664302E-2</v>
      </c>
      <c r="K18" s="102">
        <v>4.3765903307888037</v>
      </c>
    </row>
    <row r="19" spans="1:11" x14ac:dyDescent="0.3">
      <c r="A19" s="4">
        <v>44336</v>
      </c>
      <c r="B19" s="102">
        <v>6.6802299274115268E-2</v>
      </c>
      <c r="C19" s="102">
        <v>0</v>
      </c>
      <c r="D19" s="102">
        <v>-1.9283777980185254E-2</v>
      </c>
      <c r="E19" s="102">
        <v>4.1116861565438458E-2</v>
      </c>
      <c r="F19" s="102">
        <v>-9.5004922349403824E-3</v>
      </c>
      <c r="G19" s="102">
        <v>-0.10580723024942584</v>
      </c>
      <c r="H19" s="102">
        <v>2.3231182906053045E-2</v>
      </c>
      <c r="I19" s="102">
        <v>-6.6444264555039505E-4</v>
      </c>
      <c r="J19" s="102">
        <v>-9.7829216555742393E-2</v>
      </c>
      <c r="K19" s="102">
        <v>-0.60719356365357313</v>
      </c>
    </row>
    <row r="20" spans="1:11" x14ac:dyDescent="0.3">
      <c r="A20" s="4">
        <v>44337</v>
      </c>
      <c r="B20" s="102">
        <v>-1.3668126702267159E-2</v>
      </c>
      <c r="C20" s="102">
        <v>3.7697853770606716E-3</v>
      </c>
      <c r="D20" s="102">
        <v>2.0522782996264078E-2</v>
      </c>
      <c r="E20" s="102">
        <v>1.7681146882135537E-2</v>
      </c>
      <c r="F20" s="102">
        <v>2.348734297132421E-2</v>
      </c>
      <c r="G20" s="102">
        <v>1.0455661428558784E-2</v>
      </c>
      <c r="H20" s="102">
        <v>-1.3833278503053048E-2</v>
      </c>
      <c r="I20" s="102">
        <v>-7.9786811938112427E-3</v>
      </c>
      <c r="J20" s="102">
        <v>0.12608275816141604</v>
      </c>
      <c r="K20" s="102">
        <v>1.3192771084337349</v>
      </c>
    </row>
    <row r="21" spans="1:11" x14ac:dyDescent="0.3">
      <c r="A21" s="4">
        <v>44340</v>
      </c>
      <c r="B21" s="102">
        <v>1.8691651833757705E-2</v>
      </c>
      <c r="C21" s="102">
        <v>-7.9069942325714988E-4</v>
      </c>
      <c r="D21" s="102">
        <v>-6.0606017434861374E-2</v>
      </c>
      <c r="E21" s="102">
        <v>-1.6251913122925174E-4</v>
      </c>
      <c r="F21" s="102">
        <v>-1.4297703934410707E-2</v>
      </c>
      <c r="G21" s="102">
        <v>1.9937704552762593E-2</v>
      </c>
      <c r="H21" s="102">
        <v>-2.2713033855967821E-2</v>
      </c>
      <c r="I21" s="102">
        <v>0</v>
      </c>
      <c r="J21" s="102">
        <v>-3.5755003678043594E-2</v>
      </c>
      <c r="K21" s="102">
        <v>7.4805194805194805E-2</v>
      </c>
    </row>
    <row r="22" spans="1:11" x14ac:dyDescent="0.3">
      <c r="A22" s="4">
        <v>44341</v>
      </c>
      <c r="B22" s="102">
        <v>-3.827906458837347E-2</v>
      </c>
      <c r="C22" s="102">
        <v>3.9569255364399188E-4</v>
      </c>
      <c r="D22" s="102">
        <v>5.8651230083744475E-2</v>
      </c>
      <c r="E22" s="102">
        <v>-7.5407220294010535E-2</v>
      </c>
      <c r="F22" s="102">
        <v>-5.9726642966166279E-3</v>
      </c>
      <c r="G22" s="102">
        <v>6.507759097785544E-2</v>
      </c>
      <c r="H22" s="102">
        <v>4.8163581339007097E-3</v>
      </c>
      <c r="I22" s="102">
        <v>4.0213919429614641E-3</v>
      </c>
      <c r="J22" s="102">
        <v>-1.5364198672519416E-2</v>
      </c>
      <c r="K22" s="102">
        <v>0.17496375060415659</v>
      </c>
    </row>
    <row r="23" spans="1:11" x14ac:dyDescent="0.3">
      <c r="A23" s="4">
        <v>44342</v>
      </c>
      <c r="B23" s="102">
        <v>-2.7960556195117135E-2</v>
      </c>
      <c r="C23" s="102">
        <v>1.2853442383759701E-2</v>
      </c>
      <c r="D23" s="102">
        <v>-2.2160565613433009E-2</v>
      </c>
      <c r="E23" s="102">
        <v>9.3032738344116364E-2</v>
      </c>
      <c r="F23" s="102">
        <v>-6.744324523189054E-3</v>
      </c>
      <c r="G23" s="102">
        <v>-3.6939547861087857E-2</v>
      </c>
      <c r="H23" s="102">
        <v>1.0199685143756583E-2</v>
      </c>
      <c r="I23" s="102">
        <v>-4.005285121644022E-3</v>
      </c>
      <c r="J23" s="102">
        <v>-6.8567173720137056E-2</v>
      </c>
      <c r="K23" s="102">
        <v>-0.17564788153023447</v>
      </c>
    </row>
    <row r="24" spans="1:11" x14ac:dyDescent="0.3">
      <c r="A24" s="4">
        <v>44343</v>
      </c>
      <c r="B24" s="102">
        <v>8.257190897772862E-2</v>
      </c>
      <c r="C24" s="102">
        <v>-2.2842653517210345E-2</v>
      </c>
      <c r="D24" s="102">
        <v>2.8327383449869817E-3</v>
      </c>
      <c r="E24" s="102">
        <v>-2.5710112892052355E-3</v>
      </c>
      <c r="F24" s="102">
        <v>9.7530737459445484E-3</v>
      </c>
      <c r="G24" s="102">
        <v>-4.9694443151379442E-2</v>
      </c>
      <c r="H24" s="102">
        <v>-1.7958350079149612E-2</v>
      </c>
      <c r="I24" s="102">
        <v>5.3619245882237949E-3</v>
      </c>
      <c r="J24" s="102">
        <v>-2.5934092352060921E-2</v>
      </c>
      <c r="K24" s="102">
        <v>3.7909181636726546</v>
      </c>
    </row>
    <row r="25" spans="1:11" x14ac:dyDescent="0.3">
      <c r="A25" s="4">
        <v>44344</v>
      </c>
      <c r="B25" s="102">
        <v>7.5336167714200195E-2</v>
      </c>
      <c r="C25" s="102">
        <v>2.3576460721054585E-2</v>
      </c>
      <c r="D25" s="102">
        <v>4.8022567506763765E-2</v>
      </c>
      <c r="E25" s="102">
        <v>-4.7796801616809582E-3</v>
      </c>
      <c r="F25" s="102">
        <v>5.6413704880190147E-3</v>
      </c>
      <c r="G25" s="102">
        <v>9.7393822981891906E-2</v>
      </c>
      <c r="H25" s="102">
        <v>1.8938207572777425E-2</v>
      </c>
      <c r="I25" s="102">
        <v>1.3333148473234475E-3</v>
      </c>
      <c r="J25" s="102">
        <v>1.1741300858506982E-2</v>
      </c>
      <c r="K25" s="102">
        <v>-0.70586397250286426</v>
      </c>
    </row>
    <row r="26" spans="1:11" x14ac:dyDescent="0.3">
      <c r="A26" s="4">
        <v>44347</v>
      </c>
      <c r="B26" s="102">
        <v>4.0406909007065742E-2</v>
      </c>
      <c r="C26" s="102">
        <v>-5.2704314176181917E-3</v>
      </c>
      <c r="D26" s="102">
        <v>2.4258826986355876E-2</v>
      </c>
      <c r="E26" s="102">
        <v>-5.8061757051374709E-2</v>
      </c>
      <c r="F26" s="102">
        <v>-2.0487765723040455E-2</v>
      </c>
      <c r="G26" s="102">
        <v>-4.210038488549022E-2</v>
      </c>
      <c r="H26" s="102">
        <v>5.4139788031051031E-3</v>
      </c>
      <c r="I26" s="102">
        <v>-5.9919958939310689E-3</v>
      </c>
      <c r="J26" s="102">
        <v>-2.108528473685807E-2</v>
      </c>
      <c r="K26" s="102">
        <v>0.61933427762039661</v>
      </c>
    </row>
    <row r="27" spans="1:11" x14ac:dyDescent="0.3">
      <c r="A27" s="4">
        <v>44348</v>
      </c>
      <c r="B27" s="102">
        <v>-0.11791006404396684</v>
      </c>
      <c r="C27" s="102">
        <v>4.1209479939635337E-3</v>
      </c>
      <c r="D27" s="102">
        <v>1.3157597484376069E-2</v>
      </c>
      <c r="E27" s="102">
        <v>-1.4319175712647683E-3</v>
      </c>
      <c r="F27" s="102">
        <v>-3.4736077769381792E-2</v>
      </c>
      <c r="G27" s="102">
        <v>2.0767889702135778E-2</v>
      </c>
      <c r="H27" s="102">
        <v>1.0516918787374733E-2</v>
      </c>
      <c r="I27" s="102">
        <v>0</v>
      </c>
      <c r="J27" s="102">
        <v>6.5620186245174392E-2</v>
      </c>
      <c r="K27" s="102">
        <v>-0.4896129455499672</v>
      </c>
    </row>
    <row r="28" spans="1:11" x14ac:dyDescent="0.3">
      <c r="A28" s="4">
        <v>44349</v>
      </c>
      <c r="B28" s="102">
        <v>8.5840885330978653E-2</v>
      </c>
      <c r="C28" s="102">
        <v>8.7942206489466362E-3</v>
      </c>
      <c r="D28" s="102">
        <v>-7.7921415023883278E-3</v>
      </c>
      <c r="E28" s="102">
        <v>4.2223568758142045E-2</v>
      </c>
      <c r="F28" s="102">
        <v>1.7928538703113867E-2</v>
      </c>
      <c r="G28" s="102">
        <v>-3.3672400184092656E-2</v>
      </c>
      <c r="H28" s="102">
        <v>-4.5421724169924238E-3</v>
      </c>
      <c r="I28" s="102">
        <v>6.0281163423022829E-3</v>
      </c>
      <c r="J28" s="102">
        <v>2.2563440010577973E-2</v>
      </c>
      <c r="K28" s="102">
        <v>-1.4138817480719794E-2</v>
      </c>
    </row>
    <row r="29" spans="1:11" x14ac:dyDescent="0.3">
      <c r="A29" s="4">
        <v>44350</v>
      </c>
      <c r="B29" s="102">
        <v>5.8343703849362905E-3</v>
      </c>
      <c r="C29" s="102">
        <v>-3.6808461679679692E-3</v>
      </c>
      <c r="D29" s="102">
        <v>-7.853335806256332E-3</v>
      </c>
      <c r="E29" s="102">
        <v>3.9081778262917088E-2</v>
      </c>
      <c r="F29" s="102">
        <v>-8.1094178012953832E-3</v>
      </c>
      <c r="G29" s="102">
        <v>-9.0582747751078996E-3</v>
      </c>
      <c r="H29" s="102">
        <v>9.089325007192825E-3</v>
      </c>
      <c r="I29" s="102">
        <v>4.9267643051654986E-2</v>
      </c>
      <c r="J29" s="102">
        <v>2.0226946390759535E-2</v>
      </c>
      <c r="K29" s="102">
        <v>0.34941329856584091</v>
      </c>
    </row>
    <row r="30" spans="1:11" x14ac:dyDescent="0.3">
      <c r="A30" s="4">
        <v>44351</v>
      </c>
      <c r="B30" s="102">
        <v>-5.0173981058955201E-2</v>
      </c>
      <c r="C30" s="102">
        <v>-1.2638570669284779E-2</v>
      </c>
      <c r="D30" s="102">
        <v>-1.0553907535620476E-2</v>
      </c>
      <c r="E30" s="102">
        <v>2.0871870072855722E-2</v>
      </c>
      <c r="F30" s="102">
        <v>-7.4093526047659649E-3</v>
      </c>
      <c r="G30" s="102">
        <v>8.2368442724203782E-5</v>
      </c>
      <c r="H30" s="102">
        <v>-4.8310148745461185E-3</v>
      </c>
      <c r="I30" s="102">
        <v>2.7918850195101305E-2</v>
      </c>
      <c r="J30" s="102">
        <v>-3.3043187488837303E-3</v>
      </c>
      <c r="K30" s="102">
        <v>-9.8228663446054756E-2</v>
      </c>
    </row>
    <row r="31" spans="1:11" x14ac:dyDescent="0.3">
      <c r="A31" s="4">
        <v>44354</v>
      </c>
      <c r="B31" s="102">
        <v>1.4351148510084955E-2</v>
      </c>
      <c r="C31" s="102">
        <v>1.9702980014516821E-4</v>
      </c>
      <c r="D31" s="102">
        <v>-1.3333307590872465E-2</v>
      </c>
      <c r="E31" s="102">
        <v>3.1155096074467296E-4</v>
      </c>
      <c r="F31" s="102">
        <v>7.9794695328351973E-3</v>
      </c>
      <c r="G31" s="102">
        <v>1.3998599901208007E-3</v>
      </c>
      <c r="H31" s="102">
        <v>-3.8335357709240693E-3</v>
      </c>
      <c r="I31" s="102">
        <v>-2.3456906451890431E-2</v>
      </c>
      <c r="J31" s="102">
        <v>-1.2206120245097747E-2</v>
      </c>
      <c r="K31" s="102">
        <v>0.65464285714285719</v>
      </c>
    </row>
    <row r="32" spans="1:11" x14ac:dyDescent="0.3">
      <c r="A32" s="4">
        <v>44355</v>
      </c>
      <c r="B32" s="102">
        <v>-5.1474997683654204E-2</v>
      </c>
      <c r="C32" s="102">
        <v>-1.358527377448778E-2</v>
      </c>
      <c r="D32" s="102">
        <v>-8.108315873776804E-3</v>
      </c>
      <c r="E32" s="102">
        <v>9.1817635166503622E-3</v>
      </c>
      <c r="F32" s="102">
        <v>3.830373174022524E-3</v>
      </c>
      <c r="G32" s="102">
        <v>2.4669270416337206E-3</v>
      </c>
      <c r="H32" s="102">
        <v>5.7926866318567074E-4</v>
      </c>
      <c r="I32" s="102">
        <v>0</v>
      </c>
      <c r="J32" s="102">
        <v>3.9969152053723325E-2</v>
      </c>
      <c r="K32" s="102">
        <v>-0.31167709907187569</v>
      </c>
    </row>
    <row r="33" spans="1:11" x14ac:dyDescent="0.3">
      <c r="A33" s="4">
        <v>44356</v>
      </c>
      <c r="B33" s="102">
        <v>5.077728641507644E-3</v>
      </c>
      <c r="C33" s="102">
        <v>4.5907917543200729E-3</v>
      </c>
      <c r="D33" s="102">
        <v>-1.9073592519704467E-2</v>
      </c>
      <c r="E33" s="102">
        <v>-1.9172181220059481E-2</v>
      </c>
      <c r="F33" s="102">
        <v>-1.195624449803458E-2</v>
      </c>
      <c r="G33" s="102">
        <v>1.7225739735025869E-3</v>
      </c>
      <c r="H33" s="102">
        <v>-4.6233694728064125E-3</v>
      </c>
      <c r="I33" s="102">
        <v>-1.5170590298025878E-2</v>
      </c>
      <c r="J33" s="102">
        <v>-8.0676504294473674E-3</v>
      </c>
      <c r="K33" s="102">
        <v>-0.15051740357478832</v>
      </c>
    </row>
    <row r="34" spans="1:11" x14ac:dyDescent="0.3">
      <c r="A34" s="4">
        <v>44357</v>
      </c>
      <c r="B34" s="102">
        <v>3.315447015020502E-2</v>
      </c>
      <c r="C34" s="102">
        <v>8.5435523886557355E-3</v>
      </c>
      <c r="D34" s="102">
        <v>1.3888864946863035E-2</v>
      </c>
      <c r="E34" s="102">
        <v>1.921660120756313E-2</v>
      </c>
      <c r="F34" s="102">
        <v>1.8280156235318767E-2</v>
      </c>
      <c r="G34" s="102">
        <v>3.2754175415472815E-3</v>
      </c>
      <c r="H34" s="102">
        <v>1.4625972082126792E-2</v>
      </c>
      <c r="I34" s="102">
        <v>0</v>
      </c>
      <c r="J34" s="102">
        <v>4.259088640034555E-2</v>
      </c>
      <c r="K34" s="102">
        <v>8.3425618309339242E-2</v>
      </c>
    </row>
    <row r="35" spans="1:11" x14ac:dyDescent="0.3">
      <c r="A35" s="4">
        <v>44358</v>
      </c>
      <c r="B35" s="102">
        <v>2.2616043202097428E-2</v>
      </c>
      <c r="C35" s="102">
        <v>-3.4672944262666879E-2</v>
      </c>
      <c r="D35" s="102">
        <v>3.0137105083293356E-2</v>
      </c>
      <c r="E35" s="102">
        <v>6.714203271714415E-3</v>
      </c>
      <c r="F35" s="102">
        <v>-1.2515842716794843E-2</v>
      </c>
      <c r="G35" s="102">
        <v>4.1544271340457128E-2</v>
      </c>
      <c r="H35" s="102">
        <v>-1.5232903070632668E-3</v>
      </c>
      <c r="I35" s="102">
        <v>4.4928115738130207E-3</v>
      </c>
      <c r="J35" s="102">
        <v>-2.0709398376289673E-2</v>
      </c>
      <c r="K35" s="102">
        <v>0.29880749574105619</v>
      </c>
    </row>
    <row r="36" spans="1:11" x14ac:dyDescent="0.3">
      <c r="A36" s="4">
        <v>44361</v>
      </c>
      <c r="B36" s="102">
        <v>-3.496707627348844E-2</v>
      </c>
      <c r="C36" s="102">
        <v>1.5714306753878311E-2</v>
      </c>
      <c r="D36" s="102">
        <v>-2.925543108250292E-2</v>
      </c>
      <c r="E36" s="102">
        <v>4.0585424382866539E-2</v>
      </c>
      <c r="F36" s="102">
        <v>-6.9133095893481608E-3</v>
      </c>
      <c r="G36" s="102">
        <v>-1.2303110945042569E-2</v>
      </c>
      <c r="H36" s="102">
        <v>6.6444515818211269E-3</v>
      </c>
      <c r="I36" s="102">
        <v>-2.8753925639107922E-2</v>
      </c>
      <c r="J36" s="102">
        <v>1.709155184498912E-2</v>
      </c>
      <c r="K36" s="102">
        <v>-0.15870933892969569</v>
      </c>
    </row>
    <row r="37" spans="1:11" x14ac:dyDescent="0.3">
      <c r="A37" s="4">
        <v>44362</v>
      </c>
      <c r="B37" s="102">
        <v>4.2118393349141997E-2</v>
      </c>
      <c r="C37" s="102">
        <v>-3.0138628405883012E-2</v>
      </c>
      <c r="D37" s="102">
        <v>-1.9177822890065407E-2</v>
      </c>
      <c r="E37" s="102">
        <v>1.212297574424104E-2</v>
      </c>
      <c r="F37" s="102">
        <v>-1.985302919727288E-2</v>
      </c>
      <c r="G37" s="102">
        <v>4.6175816834530231E-2</v>
      </c>
      <c r="H37" s="102">
        <v>-1.0648692843042145E-3</v>
      </c>
      <c r="I37" s="102">
        <v>-1.184207644104158E-2</v>
      </c>
      <c r="J37" s="102">
        <v>-4.4147631663872594E-3</v>
      </c>
      <c r="K37" s="102">
        <v>3.7505456813221079</v>
      </c>
    </row>
    <row r="38" spans="1:11" x14ac:dyDescent="0.3">
      <c r="A38" s="4">
        <v>44363</v>
      </c>
      <c r="B38" s="102">
        <v>-3.3878350997077471E-2</v>
      </c>
      <c r="C38" s="102">
        <v>-5.179219617731665E-3</v>
      </c>
      <c r="D38" s="102">
        <v>-1.6759916955913029E-2</v>
      </c>
      <c r="E38" s="102">
        <v>1.4236327308637265E-3</v>
      </c>
      <c r="F38" s="102">
        <v>2.1833439633736337E-2</v>
      </c>
      <c r="G38" s="102">
        <v>-1.5395108331600904E-2</v>
      </c>
      <c r="H38" s="102">
        <v>1.0408515259434266E-2</v>
      </c>
      <c r="I38" s="102">
        <v>1.7310217938814758E-2</v>
      </c>
      <c r="J38" s="102">
        <v>-6.0078102260083671E-3</v>
      </c>
      <c r="K38" s="102">
        <v>-0.75858221201181486</v>
      </c>
    </row>
    <row r="39" spans="1:11" x14ac:dyDescent="0.3">
      <c r="A39" s="4">
        <v>44364</v>
      </c>
      <c r="B39" s="102">
        <v>-8.6126617070319024E-3</v>
      </c>
      <c r="C39" s="102">
        <v>4.1440988131741734E-2</v>
      </c>
      <c r="D39" s="102">
        <v>-1.7045599792905861E-2</v>
      </c>
      <c r="E39" s="102">
        <v>1.7352902728471818E-2</v>
      </c>
      <c r="F39" s="102">
        <v>1.6861866343304409E-2</v>
      </c>
      <c r="G39" s="102">
        <v>4.6984448170924224E-2</v>
      </c>
      <c r="H39" s="102">
        <v>-1.7307122394546394E-3</v>
      </c>
      <c r="I39" s="102">
        <v>0</v>
      </c>
      <c r="J39" s="102">
        <v>5.2093854647658623E-2</v>
      </c>
      <c r="K39" s="102">
        <v>-0.20309951060358891</v>
      </c>
    </row>
    <row r="40" spans="1:11" x14ac:dyDescent="0.3">
      <c r="A40" s="4">
        <v>44365</v>
      </c>
      <c r="B40" s="102">
        <v>3.8473582018088842E-2</v>
      </c>
      <c r="C40" s="102">
        <v>-1.7196522869510705E-2</v>
      </c>
      <c r="D40" s="102">
        <v>6.16144217869279E-2</v>
      </c>
      <c r="E40" s="102">
        <v>-1.7924173488139586E-2</v>
      </c>
      <c r="F40" s="102">
        <v>-5.063369888044922E-4</v>
      </c>
      <c r="G40" s="102">
        <v>2.0966719243485931E-2</v>
      </c>
      <c r="H40" s="102">
        <v>2.9568115517521532E-3</v>
      </c>
      <c r="I40" s="102">
        <v>0</v>
      </c>
      <c r="J40" s="102">
        <v>-6.2915751638662918E-3</v>
      </c>
      <c r="K40" s="102">
        <v>0.15591948140566358</v>
      </c>
    </row>
    <row r="41" spans="1:11" x14ac:dyDescent="0.3">
      <c r="A41" s="4">
        <v>44368</v>
      </c>
      <c r="B41" s="102">
        <v>-4.6310224657605918E-2</v>
      </c>
      <c r="C41" s="102">
        <v>2.1159657766475742E-2</v>
      </c>
      <c r="D41" s="102">
        <v>-1.0899397390710998E-2</v>
      </c>
      <c r="E41" s="102">
        <v>1.9133877171841809E-3</v>
      </c>
      <c r="F41" s="102">
        <v>-1.013168449312884E-2</v>
      </c>
      <c r="G41" s="102">
        <v>5.1160542233466425E-3</v>
      </c>
      <c r="H41" s="102">
        <v>3.5400814573926134E-3</v>
      </c>
      <c r="I41" s="102">
        <v>-5.2355968288060961E-3</v>
      </c>
      <c r="J41" s="102">
        <v>2.6151836133742647E-3</v>
      </c>
      <c r="K41" s="102">
        <v>-1.5348288075560802E-2</v>
      </c>
    </row>
    <row r="42" spans="1:11" x14ac:dyDescent="0.3">
      <c r="A42" s="4">
        <v>44369</v>
      </c>
      <c r="B42" s="102">
        <v>1.4411107004509423E-2</v>
      </c>
      <c r="C42" s="102">
        <v>1.7732746909755369E-2</v>
      </c>
      <c r="D42" s="102">
        <v>2.203872199041125E-2</v>
      </c>
      <c r="E42" s="102">
        <v>9.0591389698074509E-3</v>
      </c>
      <c r="F42" s="102">
        <v>5.1184171798126664E-4</v>
      </c>
      <c r="G42" s="102">
        <v>1.6990435981416838E-2</v>
      </c>
      <c r="H42" s="102">
        <v>-6.7405744039074622E-3</v>
      </c>
      <c r="I42" s="102">
        <v>3.2894956333606199E-3</v>
      </c>
      <c r="J42" s="102">
        <v>1.4088264793537352E-2</v>
      </c>
      <c r="K42" s="102">
        <v>-0.55575539568345322</v>
      </c>
    </row>
    <row r="43" spans="1:11" x14ac:dyDescent="0.3">
      <c r="A43" s="4">
        <v>44370</v>
      </c>
      <c r="B43" s="102">
        <v>1.1426743050922328E-2</v>
      </c>
      <c r="C43" s="102">
        <v>4.5027939000936035E-3</v>
      </c>
      <c r="D43" s="102">
        <v>2.6954710960375252E-3</v>
      </c>
      <c r="E43" s="102">
        <v>4.4501637083208978E-2</v>
      </c>
      <c r="F43" s="102">
        <v>2.5191799926083416E-2</v>
      </c>
      <c r="G43" s="102">
        <v>1.8891808692430494E-2</v>
      </c>
      <c r="H43" s="102">
        <v>-3.1001674803120684E-3</v>
      </c>
      <c r="I43" s="102">
        <v>-8.524606551065534E-3</v>
      </c>
      <c r="J43" s="102">
        <v>-1.7161343717418988E-2</v>
      </c>
      <c r="K43" s="102">
        <v>0.16194331983805668</v>
      </c>
    </row>
    <row r="44" spans="1:11" x14ac:dyDescent="0.3">
      <c r="A44" s="4">
        <v>44371</v>
      </c>
      <c r="B44" s="102">
        <v>-2.564886048355319E-2</v>
      </c>
      <c r="C44" s="102">
        <v>-1.371052689741094E-2</v>
      </c>
      <c r="D44" s="102">
        <v>5.3761723308664673E-3</v>
      </c>
      <c r="E44" s="102">
        <v>6.7602219033635683E-2</v>
      </c>
      <c r="F44" s="102">
        <v>1.0352946881824887E-2</v>
      </c>
      <c r="G44" s="102">
        <v>-3.735986067191812E-2</v>
      </c>
      <c r="H44" s="102">
        <v>9.345311854605555E-3</v>
      </c>
      <c r="I44" s="102">
        <v>3.5052832079711417E-2</v>
      </c>
      <c r="J44" s="102">
        <v>-2.1480047697715266E-2</v>
      </c>
      <c r="K44" s="102">
        <v>-0.34146341463414637</v>
      </c>
    </row>
    <row r="45" spans="1:11" x14ac:dyDescent="0.3">
      <c r="A45" s="4">
        <v>44372</v>
      </c>
      <c r="B45" s="102">
        <v>2.2563483553378578E-2</v>
      </c>
      <c r="C45" s="102">
        <v>6.1386277984503915E-3</v>
      </c>
      <c r="D45" s="102">
        <v>-3.2085370887888438E-2</v>
      </c>
      <c r="E45" s="102">
        <v>-1.3708798391702011E-2</v>
      </c>
      <c r="F45" s="102">
        <v>1.8271648226111648E-2</v>
      </c>
      <c r="G45" s="102">
        <v>4.3122466890344567E-3</v>
      </c>
      <c r="H45" s="102">
        <v>-7.5943290429973177E-4</v>
      </c>
      <c r="I45" s="102">
        <v>-7.0286573700550393E-3</v>
      </c>
      <c r="J45" s="102">
        <v>8.49738517682877E-3</v>
      </c>
      <c r="K45" s="102">
        <v>1.091710758377425</v>
      </c>
    </row>
    <row r="46" spans="1:11" x14ac:dyDescent="0.3">
      <c r="A46" s="4">
        <v>44375</v>
      </c>
      <c r="B46" s="102">
        <v>1.5936275016608329E-2</v>
      </c>
      <c r="C46" s="102">
        <v>2.9521494136969589E-3</v>
      </c>
      <c r="D46" s="102">
        <v>-1.6574626641983073E-2</v>
      </c>
      <c r="E46" s="102">
        <v>-1.186957196877492E-2</v>
      </c>
      <c r="F46" s="102">
        <v>6.6925287510723921E-2</v>
      </c>
      <c r="G46" s="102">
        <v>-7.3708169682690809E-3</v>
      </c>
      <c r="H46" s="102">
        <v>1.7326654695532008E-4</v>
      </c>
      <c r="I46" s="102">
        <v>3.2174586737358968E-3</v>
      </c>
      <c r="J46" s="102">
        <v>2.8082313685813385E-4</v>
      </c>
      <c r="K46" s="102">
        <v>-0.18802698145025296</v>
      </c>
    </row>
    <row r="47" spans="1:11" x14ac:dyDescent="0.3">
      <c r="A47" s="4">
        <v>44376</v>
      </c>
      <c r="B47" s="102">
        <v>0.10045247142871516</v>
      </c>
      <c r="C47" s="102">
        <v>-1.4128686593446654E-2</v>
      </c>
      <c r="D47" s="102">
        <v>-3.0898905758700256E-2</v>
      </c>
      <c r="E47" s="102">
        <v>1.3530401261048665E-2</v>
      </c>
      <c r="F47" s="102">
        <v>-1.4318126494246172E-2</v>
      </c>
      <c r="G47" s="102">
        <v>-6.2721574226434641E-3</v>
      </c>
      <c r="H47" s="102">
        <v>5.8309841409829467E-3</v>
      </c>
      <c r="I47" s="102">
        <v>7.0558390611823998E-3</v>
      </c>
      <c r="J47" s="102">
        <v>2.3864669219094675E-3</v>
      </c>
      <c r="K47" s="102">
        <v>-0.18743509865005192</v>
      </c>
    </row>
    <row r="48" spans="1:11" x14ac:dyDescent="0.3">
      <c r="A48" s="4">
        <v>44377</v>
      </c>
      <c r="B48" s="102">
        <v>-4.3037412273554836E-2</v>
      </c>
      <c r="C48" s="102">
        <v>6.7675848295443335E-3</v>
      </c>
      <c r="D48" s="102">
        <v>1.1594132572752019E-2</v>
      </c>
      <c r="E48" s="102">
        <v>8.0185113366223002E-3</v>
      </c>
      <c r="F48" s="102">
        <v>1.0836983038765334E-2</v>
      </c>
      <c r="G48" s="102">
        <v>1.7484068992572998E-2</v>
      </c>
      <c r="H48" s="102">
        <v>-2.0746157067977696E-4</v>
      </c>
      <c r="I48" s="102">
        <v>2.4840812211068156E-2</v>
      </c>
      <c r="J48" s="102">
        <v>-5.1821340380448612E-3</v>
      </c>
      <c r="K48" s="102">
        <v>1.260702875399361</v>
      </c>
    </row>
    <row r="49" spans="1:11" x14ac:dyDescent="0.3">
      <c r="A49" s="4">
        <v>44378</v>
      </c>
      <c r="B49" s="102">
        <v>1.9478749083135492E-2</v>
      </c>
      <c r="C49" s="102">
        <v>3.9532336743557843E-4</v>
      </c>
      <c r="D49" s="102">
        <v>5.7304766129160408E-3</v>
      </c>
      <c r="E49" s="102">
        <v>-1.0970527506614581E-2</v>
      </c>
      <c r="F49" s="102">
        <v>1.5396829376231987E-2</v>
      </c>
      <c r="G49" s="102">
        <v>-3.3511657754010434E-3</v>
      </c>
      <c r="H49" s="102">
        <v>8.0535283615749201E-3</v>
      </c>
      <c r="I49" s="102">
        <v>6.215017802172971E-3</v>
      </c>
      <c r="J49" s="102">
        <v>1.1264951065146495E-3</v>
      </c>
      <c r="K49" s="102">
        <v>-7.1791972866025996E-2</v>
      </c>
    </row>
    <row r="50" spans="1:11" x14ac:dyDescent="0.3">
      <c r="A50" s="4">
        <v>44379</v>
      </c>
      <c r="B50" s="102">
        <v>1.4329747918483699E-2</v>
      </c>
      <c r="C50" s="102">
        <v>1.5810473171249783E-3</v>
      </c>
      <c r="D50" s="102">
        <v>1.4245299433927137E-2</v>
      </c>
      <c r="E50" s="102">
        <v>4.9052550226000424E-3</v>
      </c>
      <c r="F50" s="102">
        <v>3.6616946994011794E-2</v>
      </c>
      <c r="G50" s="102">
        <v>0.11446558960127048</v>
      </c>
      <c r="H50" s="102">
        <v>-4.1713111666078356E-3</v>
      </c>
      <c r="I50" s="102">
        <v>-9.8826332106541816E-3</v>
      </c>
      <c r="J50" s="102">
        <v>-1.3359582721359202E-2</v>
      </c>
      <c r="K50" s="102">
        <v>0.88672350791717414</v>
      </c>
    </row>
    <row r="51" spans="1:11" x14ac:dyDescent="0.3">
      <c r="A51" s="4">
        <v>44382</v>
      </c>
      <c r="B51" s="102">
        <v>-1.1634134689942581E-2</v>
      </c>
      <c r="C51" s="102">
        <v>-1.0852320520933378E-2</v>
      </c>
      <c r="D51" s="102">
        <v>-2.2472063406545881E-2</v>
      </c>
      <c r="E51" s="102">
        <v>4.7803440274197091E-2</v>
      </c>
      <c r="F51" s="102">
        <v>-9.1018864508701381E-3</v>
      </c>
      <c r="G51" s="102">
        <v>-2.7025240897581463E-2</v>
      </c>
      <c r="H51" s="102">
        <v>-1.2792561593454623E-3</v>
      </c>
      <c r="I51" s="102">
        <v>-7.4860517284352579E-3</v>
      </c>
      <c r="J51" s="102">
        <v>1.5677849473108825E-3</v>
      </c>
      <c r="K51" s="102">
        <v>-0.46207230471271787</v>
      </c>
    </row>
    <row r="52" spans="1:11" x14ac:dyDescent="0.3">
      <c r="A52" s="4">
        <v>44383</v>
      </c>
      <c r="B52" s="102">
        <v>-2.0459711251673656E-2</v>
      </c>
      <c r="C52" s="102">
        <v>2.7727834102065002E-2</v>
      </c>
      <c r="D52" s="102">
        <v>-4.0229794606074662E-2</v>
      </c>
      <c r="E52" s="102">
        <v>8.1843798253422115E-3</v>
      </c>
      <c r="F52" s="102">
        <v>8.2012512440037093E-3</v>
      </c>
      <c r="G52" s="102">
        <v>-4.4401997025704368E-2</v>
      </c>
      <c r="H52" s="102">
        <v>2.9601165301812249E-3</v>
      </c>
      <c r="I52" s="102">
        <v>6.2854616864879646E-3</v>
      </c>
      <c r="J52" s="102">
        <v>-2.4761657545044988E-2</v>
      </c>
      <c r="K52" s="102">
        <v>-0.26252625262526252</v>
      </c>
    </row>
    <row r="53" spans="1:11" x14ac:dyDescent="0.3">
      <c r="A53" s="4">
        <v>44384</v>
      </c>
      <c r="B53" s="102">
        <v>-2.2890936848626205E-3</v>
      </c>
      <c r="C53" s="102">
        <v>1.8827640591319604E-2</v>
      </c>
      <c r="D53" s="102">
        <v>-2.4257020458198688E-3</v>
      </c>
      <c r="E53" s="102">
        <v>2.8225250314238504E-2</v>
      </c>
      <c r="F53" s="102">
        <v>-3.2537937761770906E-2</v>
      </c>
      <c r="G53" s="102">
        <v>3.2449738537689119E-3</v>
      </c>
      <c r="H53" s="102">
        <v>8.3246050874316111E-3</v>
      </c>
      <c r="I53" s="102">
        <v>1.5615215614345366E-2</v>
      </c>
      <c r="J53" s="102">
        <v>1.3862526685970237E-2</v>
      </c>
      <c r="K53" s="102">
        <v>-3.9056143205858422E-2</v>
      </c>
    </row>
    <row r="54" spans="1:11" x14ac:dyDescent="0.3">
      <c r="A54" s="4">
        <v>44385</v>
      </c>
      <c r="B54" s="102">
        <v>3.7824092463571162E-3</v>
      </c>
      <c r="C54" s="102">
        <v>-2.4766472747080872E-3</v>
      </c>
      <c r="D54" s="102">
        <v>1.5197502399034286E-2</v>
      </c>
      <c r="E54" s="102">
        <v>-1.3279856458524888E-2</v>
      </c>
      <c r="F54" s="102">
        <v>1.3452904818845788E-2</v>
      </c>
      <c r="G54" s="102">
        <v>-1.9956919963621993E-3</v>
      </c>
      <c r="H54" s="102">
        <v>8.2365706827511979E-3</v>
      </c>
      <c r="I54" s="102">
        <v>2.4599274956799894E-3</v>
      </c>
      <c r="J54" s="102">
        <v>5.7575213853757671E-4</v>
      </c>
      <c r="K54" s="102">
        <v>0.11727349703640982</v>
      </c>
    </row>
    <row r="55" spans="1:11" x14ac:dyDescent="0.3">
      <c r="A55" s="4">
        <v>44386</v>
      </c>
      <c r="B55" s="102">
        <v>5.3043548037602056E-2</v>
      </c>
      <c r="C55" s="102">
        <v>1.4132855211105119E-2</v>
      </c>
      <c r="D55" s="102">
        <v>1.19759966809381E-2</v>
      </c>
      <c r="E55" s="102">
        <v>2.0518110198607198E-4</v>
      </c>
      <c r="F55" s="102">
        <v>1.3274326678470432E-2</v>
      </c>
      <c r="G55" s="102">
        <v>2.3858722276686738E-2</v>
      </c>
      <c r="H55" s="102">
        <v>9.7816928379930654E-3</v>
      </c>
      <c r="I55" s="102">
        <v>-6.1348220302011886E-3</v>
      </c>
      <c r="J55" s="102">
        <v>-2.4165843063225438E-2</v>
      </c>
      <c r="K55" s="102">
        <v>-0.2898825312618416</v>
      </c>
    </row>
    <row r="56" spans="1:11" x14ac:dyDescent="0.3">
      <c r="A56" s="4">
        <v>44389</v>
      </c>
      <c r="B56" s="102">
        <v>2.1469946794969313E-2</v>
      </c>
      <c r="C56" s="102">
        <v>3.5781680936494138E-3</v>
      </c>
      <c r="D56" s="102">
        <v>1.7751706157503225E-2</v>
      </c>
      <c r="E56" s="102">
        <v>9.8457247273736077E-3</v>
      </c>
      <c r="F56" s="102">
        <v>1.8122393891996155E-2</v>
      </c>
      <c r="G56" s="102">
        <v>-2.963382353539329E-3</v>
      </c>
      <c r="H56" s="102">
        <v>-4.816919144030913E-4</v>
      </c>
      <c r="I56" s="102">
        <v>-1.8518577073099174E-2</v>
      </c>
      <c r="J56" s="102">
        <v>1.4150933734801467E-2</v>
      </c>
      <c r="K56" s="102">
        <v>-0.49946638207043759</v>
      </c>
    </row>
    <row r="57" spans="1:11" x14ac:dyDescent="0.3">
      <c r="A57" s="4">
        <v>44390</v>
      </c>
      <c r="B57" s="102">
        <v>-1.3473499383491487E-2</v>
      </c>
      <c r="C57" s="102">
        <v>6.9431826715990385E-3</v>
      </c>
      <c r="D57" s="102">
        <v>-1.1627855239134757E-2</v>
      </c>
      <c r="E57" s="102">
        <v>-3.359606825808182E-2</v>
      </c>
      <c r="F57" s="102">
        <v>1.7692299541112642E-2</v>
      </c>
      <c r="G57" s="102">
        <v>2.776277488745884E-2</v>
      </c>
      <c r="H57" s="102">
        <v>6.3750583431691939E-4</v>
      </c>
      <c r="I57" s="102">
        <v>6.2885767294955125E-4</v>
      </c>
      <c r="J57" s="102">
        <v>8.2850622254079468E-3</v>
      </c>
      <c r="K57" s="102">
        <v>9.8081023454157784E-2</v>
      </c>
    </row>
    <row r="58" spans="1:11" x14ac:dyDescent="0.3">
      <c r="A58" s="4">
        <v>44391</v>
      </c>
      <c r="B58" s="102">
        <v>-2.5676203144809957E-2</v>
      </c>
      <c r="C58" s="102">
        <v>-8.9451710594376441E-3</v>
      </c>
      <c r="D58" s="102">
        <v>-1.1764953038926974E-2</v>
      </c>
      <c r="E58" s="102">
        <v>-1.6688426720452097E-2</v>
      </c>
      <c r="F58" s="102">
        <v>-8.7449794731882559E-3</v>
      </c>
      <c r="G58" s="102">
        <v>2.5435492294531459E-2</v>
      </c>
      <c r="H58" s="102">
        <v>-6.4961413754528186E-3</v>
      </c>
      <c r="I58" s="102">
        <v>3.771225498576464E-3</v>
      </c>
      <c r="J58" s="102">
        <v>1.4412832975262566E-4</v>
      </c>
      <c r="K58" s="102">
        <v>7.0873786407766995E-2</v>
      </c>
    </row>
    <row r="59" spans="1:11" x14ac:dyDescent="0.3">
      <c r="A59" s="4">
        <v>44392</v>
      </c>
      <c r="B59" s="102">
        <v>-1.9623428645427401E-3</v>
      </c>
      <c r="C59" s="102">
        <v>-1.880491032106905E-3</v>
      </c>
      <c r="D59" s="102">
        <v>1.4880889111866E-2</v>
      </c>
      <c r="E59" s="102">
        <v>1.0602005804834938E-2</v>
      </c>
      <c r="F59" s="102">
        <v>-1.8176016039305968E-2</v>
      </c>
      <c r="G59" s="102">
        <v>-1.3331636627826311E-2</v>
      </c>
      <c r="H59" s="102">
        <v>1.1680191768900392E-3</v>
      </c>
      <c r="I59" s="102">
        <v>2.6925498821826214E-2</v>
      </c>
      <c r="J59" s="102">
        <v>-9.3687362123560085E-3</v>
      </c>
      <c r="K59" s="102">
        <v>1.2710788757932909</v>
      </c>
    </row>
    <row r="60" spans="1:11" x14ac:dyDescent="0.3">
      <c r="A60" s="4">
        <v>44393</v>
      </c>
      <c r="B60" s="102">
        <v>3.9325946761320618E-2</v>
      </c>
      <c r="C60" s="102">
        <v>-1.5071017431152467E-3</v>
      </c>
      <c r="D60" s="102">
        <v>2.9325390341892917E-3</v>
      </c>
      <c r="E60" s="102">
        <v>7.0643410412562953E-3</v>
      </c>
      <c r="F60" s="102">
        <v>1.2990367879944498E-3</v>
      </c>
      <c r="G60" s="102">
        <v>-3.2220384146805413E-2</v>
      </c>
      <c r="H60" s="102">
        <v>-2.7755749405232919E-3</v>
      </c>
      <c r="I60" s="102">
        <v>4.2683586930522014E-3</v>
      </c>
      <c r="J60" s="102">
        <v>-6.2561935591794477E-3</v>
      </c>
      <c r="K60" s="102">
        <v>0.44590818363273454</v>
      </c>
    </row>
    <row r="61" spans="1:11" x14ac:dyDescent="0.3">
      <c r="A61" s="4">
        <v>44396</v>
      </c>
      <c r="B61" s="102">
        <v>-2.7297365597662319E-2</v>
      </c>
      <c r="C61" s="102">
        <v>1.0754700252551045E-2</v>
      </c>
      <c r="D61" s="102">
        <v>1.462012033605304E-2</v>
      </c>
      <c r="E61" s="102">
        <v>3.1921580145765852E-3</v>
      </c>
      <c r="F61" s="102">
        <v>-1.5137540371457368E-3</v>
      </c>
      <c r="G61" s="102">
        <v>2.0741113457943737E-2</v>
      </c>
      <c r="H61" s="102">
        <v>7.1073558648110033E-3</v>
      </c>
      <c r="I61" s="102">
        <v>1.7607776275939218E-2</v>
      </c>
      <c r="J61" s="102">
        <v>-1.815533252312795E-2</v>
      </c>
      <c r="K61" s="102">
        <v>-0.35505245720596357</v>
      </c>
    </row>
    <row r="62" spans="1:11" x14ac:dyDescent="0.3">
      <c r="A62" s="4">
        <v>44397</v>
      </c>
      <c r="B62" s="102">
        <v>-3.0563907404699839E-3</v>
      </c>
      <c r="C62" s="102">
        <v>-2.4454050863731459E-2</v>
      </c>
      <c r="D62" s="102">
        <v>-4.9035248036017652E-3</v>
      </c>
      <c r="E62" s="102">
        <v>-3.9442214259691834E-2</v>
      </c>
      <c r="F62" s="102">
        <v>2.761248605009747E-2</v>
      </c>
      <c r="G62" s="102">
        <v>4.4453177410585659E-2</v>
      </c>
      <c r="H62" s="102">
        <v>-1.9892262896752662E-3</v>
      </c>
      <c r="I62" s="102">
        <v>-7.1599274386031095E-3</v>
      </c>
      <c r="J62" s="102">
        <v>2.8183648403019564E-2</v>
      </c>
      <c r="K62" s="102">
        <v>3.3167808219178081</v>
      </c>
    </row>
    <row r="63" spans="1:11" x14ac:dyDescent="0.3">
      <c r="A63" s="4">
        <v>44398</v>
      </c>
      <c r="B63" s="102">
        <v>-5.2954235867834695E-3</v>
      </c>
      <c r="C63" s="102">
        <v>2.6790381864410496E-3</v>
      </c>
      <c r="D63" s="102">
        <v>-2.0289662346259035E-2</v>
      </c>
      <c r="E63" s="102">
        <v>-1.0243691774535955E-2</v>
      </c>
      <c r="F63" s="102">
        <v>3.3719609058888773E-2</v>
      </c>
      <c r="G63" s="102">
        <v>1.636964658603976E-2</v>
      </c>
      <c r="H63" s="102">
        <v>5.3253199946740938E-4</v>
      </c>
      <c r="I63" s="102">
        <v>1.8028596408847109E-3</v>
      </c>
      <c r="J63" s="102">
        <v>1.8418942968622717E-2</v>
      </c>
      <c r="K63" s="102">
        <v>-0.64389131297104318</v>
      </c>
    </row>
    <row r="64" spans="1:11" x14ac:dyDescent="0.3">
      <c r="A64" s="4">
        <v>44399</v>
      </c>
      <c r="B64" s="102">
        <v>-4.2028335804509759E-3</v>
      </c>
      <c r="C64" s="102">
        <v>-2.2901334629266412E-3</v>
      </c>
      <c r="D64" s="102">
        <v>3.2544149349632741E-2</v>
      </c>
      <c r="E64" s="102">
        <v>4.5626761070361045E-2</v>
      </c>
      <c r="F64" s="102">
        <v>-5.7083497758586409E-3</v>
      </c>
      <c r="G64" s="102">
        <v>8.4247082882547161E-2</v>
      </c>
      <c r="H64" s="102">
        <v>-7.2423821924838946E-3</v>
      </c>
      <c r="I64" s="102">
        <v>5.9993318506866317E-4</v>
      </c>
      <c r="J64" s="102">
        <v>-1.3813574940536111E-2</v>
      </c>
      <c r="K64" s="102">
        <v>-0.59482038429406847</v>
      </c>
    </row>
    <row r="65" spans="1:11" x14ac:dyDescent="0.3">
      <c r="A65" s="4">
        <v>44400</v>
      </c>
      <c r="B65" s="102">
        <v>-7.878490425803384E-3</v>
      </c>
      <c r="C65" s="102">
        <v>-3.0604816993466217E-3</v>
      </c>
      <c r="D65" s="102">
        <v>2.2922585880822882E-2</v>
      </c>
      <c r="E65" s="102">
        <v>-4.5783869083242924E-2</v>
      </c>
      <c r="F65" s="102">
        <v>5.9462197734055739E-3</v>
      </c>
      <c r="G65" s="102">
        <v>8.4385557243818535E-2</v>
      </c>
      <c r="H65" s="102">
        <v>-2.2594110213303782E-3</v>
      </c>
      <c r="I65" s="102">
        <v>2.3980482476694529E-3</v>
      </c>
      <c r="J65" s="102">
        <v>1.7617548789059398E-2</v>
      </c>
      <c r="K65" s="102">
        <v>1.0254295532646047</v>
      </c>
    </row>
    <row r="66" spans="1:11" x14ac:dyDescent="0.3">
      <c r="A66" s="4">
        <v>44403</v>
      </c>
      <c r="B66" s="102">
        <v>1.6165668646298911E-2</v>
      </c>
      <c r="C66" s="102">
        <v>4.4129457710537614E-3</v>
      </c>
      <c r="D66" s="102">
        <v>-1.1204457794371896E-2</v>
      </c>
      <c r="E66" s="102">
        <v>5.3851767004495614E-3</v>
      </c>
      <c r="F66" s="102">
        <v>-1.100700224260912E-2</v>
      </c>
      <c r="G66" s="102">
        <v>1.5489999755163296E-2</v>
      </c>
      <c r="H66" s="102">
        <v>1.7271820066027616E-4</v>
      </c>
      <c r="I66" s="102">
        <v>4.7846227391634957E-3</v>
      </c>
      <c r="J66" s="102">
        <v>-2.9798678249980414E-3</v>
      </c>
      <c r="K66" s="102">
        <v>2.8846284356973193</v>
      </c>
    </row>
    <row r="67" spans="1:11" x14ac:dyDescent="0.3">
      <c r="A67" s="4">
        <v>44404</v>
      </c>
      <c r="B67" s="102">
        <v>5.5818628264082751E-3</v>
      </c>
      <c r="C67" s="102">
        <v>2.1011785511823354E-3</v>
      </c>
      <c r="D67" s="102">
        <v>3.3994549458065057E-2</v>
      </c>
      <c r="E67" s="102">
        <v>-1.7824985972907305E-2</v>
      </c>
      <c r="F67" s="102">
        <v>9.8929832441331123E-3</v>
      </c>
      <c r="G67" s="102">
        <v>-1.3334061083997605E-2</v>
      </c>
      <c r="H67" s="102">
        <v>4.8966747894159911E-3</v>
      </c>
      <c r="I67" s="102">
        <v>4.1666641258157736E-2</v>
      </c>
      <c r="J67" s="102">
        <v>6.9738458979473538E-3</v>
      </c>
      <c r="K67" s="102">
        <v>-0.56464011180992313</v>
      </c>
    </row>
    <row r="68" spans="1:11" x14ac:dyDescent="0.3">
      <c r="A68" s="4">
        <v>44405</v>
      </c>
      <c r="B68" s="102">
        <v>-2.4979241400454804E-2</v>
      </c>
      <c r="C68" s="102">
        <v>-7.2435841594106426E-3</v>
      </c>
      <c r="D68" s="102">
        <v>0</v>
      </c>
      <c r="E68" s="102">
        <v>-1.6226492670688944E-2</v>
      </c>
      <c r="F68" s="102">
        <v>-1.8571567020378005E-2</v>
      </c>
      <c r="G68" s="102">
        <v>4.3645265222120233E-3</v>
      </c>
      <c r="H68" s="102">
        <v>2.1881838074399146E-3</v>
      </c>
      <c r="I68" s="102">
        <v>-2.2857004030854798E-2</v>
      </c>
      <c r="J68" s="102">
        <v>-1.8657409272744847E-2</v>
      </c>
      <c r="K68" s="102">
        <v>-0.40048154093097915</v>
      </c>
    </row>
    <row r="69" spans="1:11" x14ac:dyDescent="0.3">
      <c r="A69" s="4">
        <v>44406</v>
      </c>
      <c r="B69" s="102">
        <v>-1.3094160493006234E-2</v>
      </c>
      <c r="C69" s="102">
        <v>-1.1712771555550359E-2</v>
      </c>
      <c r="D69" s="102">
        <v>1.3698457952840018E-2</v>
      </c>
      <c r="E69" s="102">
        <v>4.8209916312793241E-2</v>
      </c>
      <c r="F69" s="102">
        <v>1.5284006116439985E-2</v>
      </c>
      <c r="G69" s="102">
        <v>-2.6439806282722533E-2</v>
      </c>
      <c r="H69" s="102">
        <v>-7.1637059222521692E-4</v>
      </c>
      <c r="I69" s="102">
        <v>-1.228077070410853E-2</v>
      </c>
      <c r="J69" s="102">
        <v>1.6707458901490526E-2</v>
      </c>
      <c r="K69" s="102">
        <v>-0.29384203480589022</v>
      </c>
    </row>
    <row r="70" spans="1:11" x14ac:dyDescent="0.3">
      <c r="A70" s="4">
        <v>44407</v>
      </c>
      <c r="B70" s="102">
        <v>4.9610665058904845E-2</v>
      </c>
      <c r="C70" s="102">
        <v>-6.8000520544018849E-3</v>
      </c>
      <c r="D70" s="102">
        <v>1.8919014987794656E-2</v>
      </c>
      <c r="E70" s="102">
        <v>4.9849395927747528E-3</v>
      </c>
      <c r="F70" s="102">
        <v>-8.1926515360400138E-4</v>
      </c>
      <c r="G70" s="102">
        <v>-4.6948083575392582E-2</v>
      </c>
      <c r="H70" s="102">
        <v>1.1020187152521988E-3</v>
      </c>
      <c r="I70" s="102">
        <v>4.7957435867294722E-2</v>
      </c>
      <c r="J70" s="102">
        <v>2.1249786529850198E-2</v>
      </c>
      <c r="K70" s="102">
        <v>0.66303317535545025</v>
      </c>
    </row>
    <row r="71" spans="1:11" x14ac:dyDescent="0.3">
      <c r="A71" s="4">
        <v>44410</v>
      </c>
      <c r="B71" s="102">
        <v>1.7862069556987249E-2</v>
      </c>
      <c r="C71" s="102">
        <v>-3.9123820253928214E-3</v>
      </c>
      <c r="D71" s="102">
        <v>0</v>
      </c>
      <c r="E71" s="102">
        <v>-4.4038974955335194E-2</v>
      </c>
      <c r="F71" s="102">
        <v>-8.404302898046976E-3</v>
      </c>
      <c r="G71" s="102">
        <v>2.0934386519950419E-2</v>
      </c>
      <c r="H71" s="102">
        <v>4.0908831203457629E-3</v>
      </c>
      <c r="I71" s="102">
        <v>-1.4689293005062659E-2</v>
      </c>
      <c r="J71" s="102">
        <v>3.3289899049605116E-3</v>
      </c>
      <c r="K71" s="102">
        <v>0.59304645198062123</v>
      </c>
    </row>
    <row r="72" spans="1:11" x14ac:dyDescent="0.3">
      <c r="A72" s="4">
        <v>44411</v>
      </c>
      <c r="B72" s="102">
        <v>-1.2958954818612594E-2</v>
      </c>
      <c r="C72" s="102">
        <v>-3.1421436425954196E-3</v>
      </c>
      <c r="D72" s="102">
        <v>2.1219839943231268E-2</v>
      </c>
      <c r="E72" s="102">
        <v>6.0461331525049527E-3</v>
      </c>
      <c r="F72" s="102">
        <v>2.9973356667859523E-3</v>
      </c>
      <c r="G72" s="102">
        <v>9.8381366764326034E-3</v>
      </c>
      <c r="H72" s="102">
        <v>2.4733601660034679E-3</v>
      </c>
      <c r="I72" s="102">
        <v>2.8669738513177594E-2</v>
      </c>
      <c r="J72" s="102">
        <v>5.5304411340532187E-3</v>
      </c>
      <c r="K72" s="102">
        <v>0.24311270125223614</v>
      </c>
    </row>
    <row r="73" spans="1:11" x14ac:dyDescent="0.3">
      <c r="A73" s="4">
        <v>44412</v>
      </c>
      <c r="B73" s="102">
        <v>-1.914671381274638E-2</v>
      </c>
      <c r="C73" s="102">
        <v>-1.8321474225450881E-2</v>
      </c>
      <c r="D73" s="102">
        <v>0</v>
      </c>
      <c r="E73" s="102">
        <v>-4.4400609840829653E-3</v>
      </c>
      <c r="F73" s="102">
        <v>1.731251783011024E-2</v>
      </c>
      <c r="G73" s="102">
        <v>3.6396441055360593E-2</v>
      </c>
      <c r="H73" s="102">
        <v>5.857845084972872E-3</v>
      </c>
      <c r="I73" s="102">
        <v>3.3444923006780091E-3</v>
      </c>
      <c r="J73" s="102">
        <v>-3.9874212063240036E-3</v>
      </c>
      <c r="K73" s="102">
        <v>-0.52424809325082744</v>
      </c>
    </row>
    <row r="74" spans="1:11" x14ac:dyDescent="0.3">
      <c r="A74" s="4">
        <v>44413</v>
      </c>
      <c r="B74" s="102">
        <v>-1.6452880029619425E-2</v>
      </c>
      <c r="C74" s="102">
        <v>-2.6089150270217523E-3</v>
      </c>
      <c r="D74" s="102">
        <v>-7.7920599108116488E-3</v>
      </c>
      <c r="E74" s="102">
        <v>4.4147819020058819E-3</v>
      </c>
      <c r="F74" s="102">
        <v>-5.4700519393930565E-3</v>
      </c>
      <c r="G74" s="102">
        <v>-2.4978854958920282E-2</v>
      </c>
      <c r="H74" s="102">
        <v>3.7620998536789619E-6</v>
      </c>
      <c r="I74" s="102">
        <v>-1.166661847858768E-2</v>
      </c>
      <c r="J74" s="102">
        <v>-1.0905613917688409E-2</v>
      </c>
      <c r="K74" s="102">
        <v>0.61645493042952204</v>
      </c>
    </row>
    <row r="75" spans="1:11" x14ac:dyDescent="0.3">
      <c r="A75" s="4">
        <v>44414</v>
      </c>
      <c r="B75" s="102">
        <v>2.8069084429234014E-2</v>
      </c>
      <c r="C75" s="102">
        <v>-2.4949672579026819E-2</v>
      </c>
      <c r="D75" s="102">
        <v>1.3089110734202464E-2</v>
      </c>
      <c r="E75" s="102">
        <v>-1.1211771782082154E-3</v>
      </c>
      <c r="F75" s="102">
        <v>4.0741131930183833E-3</v>
      </c>
      <c r="G75" s="102">
        <v>-1.5111352025365529E-2</v>
      </c>
      <c r="H75" s="102">
        <v>-1.6515556224372062E-3</v>
      </c>
      <c r="I75" s="102">
        <v>0</v>
      </c>
      <c r="J75" s="102">
        <v>-1.256112784465511E-2</v>
      </c>
      <c r="K75" s="102">
        <v>-0.1124625748502994</v>
      </c>
    </row>
    <row r="76" spans="1:11" x14ac:dyDescent="0.3">
      <c r="A76" s="4">
        <v>44417</v>
      </c>
      <c r="B76" s="102">
        <v>-1.9304900950851814E-2</v>
      </c>
      <c r="C76" s="102">
        <v>-2.2286499708930149E-2</v>
      </c>
      <c r="D76" s="102">
        <v>4.6511523755380077E-2</v>
      </c>
      <c r="E76" s="102">
        <v>8.5310787101797788E-3</v>
      </c>
      <c r="F76" s="102">
        <v>-7.6079790032243669E-3</v>
      </c>
      <c r="G76" s="102">
        <v>1.341840658641452E-2</v>
      </c>
      <c r="H76" s="102">
        <v>5.2831696002955736E-3</v>
      </c>
      <c r="I76" s="102">
        <v>-1.5739305493945525E-2</v>
      </c>
      <c r="J76" s="102">
        <v>2.3321616524449928E-2</v>
      </c>
      <c r="K76" s="102">
        <v>0.15222433059245202</v>
      </c>
    </row>
    <row r="77" spans="1:11" x14ac:dyDescent="0.3">
      <c r="A77" s="4">
        <v>44418</v>
      </c>
      <c r="B77" s="102">
        <v>-6.467925649281051E-3</v>
      </c>
      <c r="C77" s="102">
        <v>6.7539886724934679E-3</v>
      </c>
      <c r="D77" s="102">
        <v>4.938512772089552E-3</v>
      </c>
      <c r="E77" s="102">
        <v>-2.4353275653344976E-2</v>
      </c>
      <c r="F77" s="102">
        <v>-5.4175202931614798E-3</v>
      </c>
      <c r="G77" s="102">
        <v>1.6388126852551154E-2</v>
      </c>
      <c r="H77" s="102">
        <v>-3.4036427974345139E-3</v>
      </c>
      <c r="I77" s="102">
        <v>1.0279873672363632E-2</v>
      </c>
      <c r="J77" s="102">
        <v>1.5331321750844696E-2</v>
      </c>
      <c r="K77" s="102">
        <v>-0.44958828911253429</v>
      </c>
    </row>
    <row r="78" spans="1:11" x14ac:dyDescent="0.3">
      <c r="A78" s="4">
        <v>44419</v>
      </c>
      <c r="B78" s="102">
        <v>-2.3209698631518349E-2</v>
      </c>
      <c r="C78" s="102">
        <v>2.1593259723154946E-2</v>
      </c>
      <c r="D78" s="102">
        <v>7.3708645817494173E-3</v>
      </c>
      <c r="E78" s="102">
        <v>3.3585997828340812E-2</v>
      </c>
      <c r="F78" s="102">
        <v>3.5972038361591959E-3</v>
      </c>
      <c r="G78" s="102">
        <v>2.1409476432309525E-2</v>
      </c>
      <c r="H78" s="102">
        <v>-1.7038722659997994E-3</v>
      </c>
      <c r="I78" s="102">
        <v>-1.3001805478145938E-2</v>
      </c>
      <c r="J78" s="102">
        <v>-3.1287732709940914E-3</v>
      </c>
      <c r="K78" s="102">
        <v>-0.39926861702127658</v>
      </c>
    </row>
    <row r="79" spans="1:11" x14ac:dyDescent="0.3">
      <c r="A79" s="4">
        <v>44420</v>
      </c>
      <c r="B79" s="102">
        <v>1.6806626999738332E-2</v>
      </c>
      <c r="C79" s="102">
        <v>2.0931628785318977E-2</v>
      </c>
      <c r="D79" s="102">
        <v>1.4634113590620963E-2</v>
      </c>
      <c r="E79" s="102">
        <v>2.799108057156631E-2</v>
      </c>
      <c r="F79" s="102">
        <v>2.6625614084014287E-2</v>
      </c>
      <c r="G79" s="102">
        <v>-9.9838169461483918E-3</v>
      </c>
      <c r="H79" s="102">
        <v>-8.1910388377314791E-3</v>
      </c>
      <c r="I79" s="102">
        <v>-2.2908606144246852E-3</v>
      </c>
      <c r="J79" s="102">
        <v>1.4738100563721379E-2</v>
      </c>
      <c r="K79" s="102">
        <v>1.8616491422246817</v>
      </c>
    </row>
    <row r="80" spans="1:11" x14ac:dyDescent="0.3">
      <c r="A80" s="4">
        <v>44421</v>
      </c>
      <c r="B80" s="102">
        <v>1.9948963534731344E-3</v>
      </c>
      <c r="C80" s="102">
        <v>8.040605045342798E-4</v>
      </c>
      <c r="D80" s="102">
        <v>3.1250053610662638E-2</v>
      </c>
      <c r="E80" s="102">
        <v>3.7794142793364355E-3</v>
      </c>
      <c r="F80" s="102">
        <v>2.2942560331019015E-2</v>
      </c>
      <c r="G80" s="102">
        <v>-5.659979587961337E-2</v>
      </c>
      <c r="H80" s="102">
        <v>6.758142821325263E-3</v>
      </c>
      <c r="I80" s="102">
        <v>1.6647419118099999E-2</v>
      </c>
      <c r="J80" s="102">
        <v>-1.6944741297946951E-2</v>
      </c>
      <c r="K80" s="102">
        <v>0.42854380197253916</v>
      </c>
    </row>
    <row r="81" spans="1:11" x14ac:dyDescent="0.3">
      <c r="A81" s="4">
        <v>44424</v>
      </c>
      <c r="B81" s="102">
        <v>1.3936354697827997E-2</v>
      </c>
      <c r="C81" s="102">
        <v>3.2134554722178482E-3</v>
      </c>
      <c r="D81" s="102">
        <v>1.1655104167062792E-2</v>
      </c>
      <c r="E81" s="102">
        <v>1.5103484696840776E-2</v>
      </c>
      <c r="F81" s="102">
        <v>1.4627001087034778E-2</v>
      </c>
      <c r="G81" s="102">
        <v>7.779348860843127E-3</v>
      </c>
      <c r="H81" s="102">
        <v>2.4715395616129658E-3</v>
      </c>
      <c r="I81" s="102">
        <v>3.1056053322942392E-2</v>
      </c>
      <c r="J81" s="102">
        <v>-4.2408022361593812E-3</v>
      </c>
      <c r="K81" s="102">
        <v>-0.60051441721943954</v>
      </c>
    </row>
    <row r="82" spans="1:11" x14ac:dyDescent="0.3">
      <c r="A82" s="4">
        <v>44425</v>
      </c>
      <c r="B82" s="102">
        <v>5.3015416560545689E-2</v>
      </c>
      <c r="C82" s="102">
        <v>-1.6816753269135076E-2</v>
      </c>
      <c r="D82" s="102">
        <v>-2.9283053227243526E-2</v>
      </c>
      <c r="E82" s="102">
        <v>2.8661494321365324E-3</v>
      </c>
      <c r="F82" s="102">
        <v>-3.4598632512427341E-2</v>
      </c>
      <c r="G82" s="102">
        <v>4.3372009198622441E-2</v>
      </c>
      <c r="H82" s="102">
        <v>2.1869071637206296E-3</v>
      </c>
      <c r="I82" s="102">
        <v>-2.792990710808381E-2</v>
      </c>
      <c r="J82" s="102">
        <v>1.3738693011976491E-3</v>
      </c>
      <c r="K82" s="102">
        <v>-0.17993900372754998</v>
      </c>
    </row>
    <row r="83" spans="1:11" x14ac:dyDescent="0.3">
      <c r="A83" s="4">
        <v>44426</v>
      </c>
      <c r="B83" s="102">
        <v>-1.3851901248496562E-2</v>
      </c>
      <c r="C83" s="102">
        <v>-6.9232216178689993E-3</v>
      </c>
      <c r="D83" s="102">
        <v>1.4251820560450972E-2</v>
      </c>
      <c r="E83" s="102">
        <v>3.6145214549925662E-2</v>
      </c>
      <c r="F83" s="102">
        <v>1.0452904328520422E-2</v>
      </c>
      <c r="G83" s="102">
        <v>-1.2774158697728431E-2</v>
      </c>
      <c r="H83" s="102">
        <v>2.4750894825598569E-3</v>
      </c>
      <c r="I83" s="102">
        <v>-8.4507025995304245E-3</v>
      </c>
      <c r="J83" s="102">
        <v>8.7801887541791839E-3</v>
      </c>
      <c r="K83" s="102">
        <v>1.1326446280991735</v>
      </c>
    </row>
    <row r="84" spans="1:11" x14ac:dyDescent="0.3">
      <c r="A84" s="4">
        <v>44427</v>
      </c>
      <c r="B84" s="102">
        <v>2.1880072660218967E-2</v>
      </c>
      <c r="C84" s="102">
        <v>-2.0505954306226852E-3</v>
      </c>
      <c r="D84" s="102">
        <v>4.6839329480120682E-3</v>
      </c>
      <c r="E84" s="102">
        <v>-1.6265798139821496E-2</v>
      </c>
      <c r="F84" s="102">
        <v>-5.9113256676610691E-3</v>
      </c>
      <c r="G84" s="102">
        <v>7.7366866020419839E-2</v>
      </c>
      <c r="H84" s="102">
        <v>-7.4931063421643823E-5</v>
      </c>
      <c r="I84" s="102">
        <v>-2.5568176857223245E-2</v>
      </c>
      <c r="J84" s="102">
        <v>3.8081660442052848E-3</v>
      </c>
      <c r="K84" s="102">
        <v>0.154233675644255</v>
      </c>
    </row>
    <row r="85" spans="1:11" x14ac:dyDescent="0.3">
      <c r="A85" s="4">
        <v>44428</v>
      </c>
      <c r="B85" s="102">
        <v>1.8239419674911321E-2</v>
      </c>
      <c r="C85" s="102">
        <v>1.3766318925133884E-2</v>
      </c>
      <c r="D85" s="102">
        <v>2.3309292582564113E-3</v>
      </c>
      <c r="E85" s="102">
        <v>2.0204358778485813E-3</v>
      </c>
      <c r="F85" s="102">
        <v>-1.3577792950047646E-2</v>
      </c>
      <c r="G85" s="102">
        <v>0.12735823822891218</v>
      </c>
      <c r="H85" s="102">
        <v>3.1173658258770902E-3</v>
      </c>
      <c r="I85" s="102">
        <v>1.2827930030363146E-2</v>
      </c>
      <c r="J85" s="102">
        <v>-2.7094386182776359E-3</v>
      </c>
      <c r="K85" s="102">
        <v>-0.70857814336075209</v>
      </c>
    </row>
    <row r="86" spans="1:11" x14ac:dyDescent="0.3">
      <c r="A86" s="4">
        <v>44431</v>
      </c>
      <c r="B86" s="102">
        <v>2.492213188059356E-2</v>
      </c>
      <c r="C86" s="102">
        <v>8.3096297116391406E-3</v>
      </c>
      <c r="D86" s="102">
        <v>2.32550866207544E-3</v>
      </c>
      <c r="E86" s="102">
        <v>3.8270174730455687E-3</v>
      </c>
      <c r="F86" s="102">
        <v>2.2807179862859205E-2</v>
      </c>
      <c r="G86" s="102">
        <v>2.6677885416716493E-2</v>
      </c>
      <c r="H86" s="102">
        <v>-2.7266886793858504E-4</v>
      </c>
      <c r="I86" s="102">
        <v>4.8359221427947567E-2</v>
      </c>
      <c r="J86" s="102">
        <v>-3.3964178154923231E-3</v>
      </c>
      <c r="K86" s="102">
        <v>6.5668202764976952E-2</v>
      </c>
    </row>
    <row r="87" spans="1:11" x14ac:dyDescent="0.3">
      <c r="A87" s="4">
        <v>44432</v>
      </c>
      <c r="B87" s="102">
        <v>-1.2411220302023011E-2</v>
      </c>
      <c r="C87" s="102">
        <v>-2.8140637705675414E-2</v>
      </c>
      <c r="D87" s="102">
        <v>-8.8167138923368166E-2</v>
      </c>
      <c r="E87" s="102">
        <v>1.2994892841315407E-2</v>
      </c>
      <c r="F87" s="102">
        <v>2.0628765156114549E-2</v>
      </c>
      <c r="G87" s="102">
        <v>2.0623481967937961E-2</v>
      </c>
      <c r="H87" s="102">
        <v>1.0797643199539091E-3</v>
      </c>
      <c r="I87" s="102">
        <v>2.7457456321020361E-2</v>
      </c>
      <c r="J87" s="102">
        <v>-3.5442964230374082E-3</v>
      </c>
      <c r="K87" s="102">
        <v>0.32486486486486488</v>
      </c>
    </row>
    <row r="88" spans="1:11" x14ac:dyDescent="0.3">
      <c r="A88" s="4">
        <v>44433</v>
      </c>
      <c r="B88" s="102">
        <v>6.4119072053971929E-3</v>
      </c>
      <c r="C88" s="102">
        <v>-7.2388949286563531E-2</v>
      </c>
      <c r="D88" s="102">
        <v>1.2722769004631349E-2</v>
      </c>
      <c r="E88" s="102">
        <v>1.1088406572138595E-2</v>
      </c>
      <c r="F88" s="102">
        <v>-1.0105910131270495E-2</v>
      </c>
      <c r="G88" s="102">
        <v>2.4146390952693289E-2</v>
      </c>
      <c r="H88" s="102">
        <v>-2.3773979249085567E-3</v>
      </c>
      <c r="I88" s="102">
        <v>6.4136871085785321E-2</v>
      </c>
      <c r="J88" s="102">
        <v>-2.4621922617879544E-3</v>
      </c>
      <c r="K88" s="102">
        <v>1.0603835169318645</v>
      </c>
    </row>
    <row r="89" spans="1:11" x14ac:dyDescent="0.3">
      <c r="A89" s="4">
        <v>44434</v>
      </c>
      <c r="B89" s="102">
        <v>5.8612452233589808E-3</v>
      </c>
      <c r="C89" s="102">
        <v>-1.0702294897062039E-2</v>
      </c>
      <c r="D89" s="102">
        <v>5.024968693139475E-3</v>
      </c>
      <c r="E89" s="102">
        <v>-1.7370536725786822E-2</v>
      </c>
      <c r="F89" s="102">
        <v>1.4584334770255761E-2</v>
      </c>
      <c r="G89" s="102">
        <v>4.549991821434343E-3</v>
      </c>
      <c r="H89" s="102">
        <v>4.388278470499777E-3</v>
      </c>
      <c r="I89" s="102">
        <v>4.0180257501896662E-3</v>
      </c>
      <c r="J89" s="102">
        <v>-1.2205246935880121E-2</v>
      </c>
      <c r="K89" s="102">
        <v>-0.43049504950495049</v>
      </c>
    </row>
    <row r="90" spans="1:11" x14ac:dyDescent="0.3">
      <c r="A90" s="4">
        <v>44435</v>
      </c>
      <c r="B90" s="102">
        <v>-1.2667784899921217E-2</v>
      </c>
      <c r="C90" s="102">
        <v>5.6343969743601575E-3</v>
      </c>
      <c r="D90" s="102">
        <v>-2.4999223152005175E-3</v>
      </c>
      <c r="E90" s="102">
        <v>1.0345749386155172E-2</v>
      </c>
      <c r="F90" s="102">
        <v>1.2937267612694453E-2</v>
      </c>
      <c r="G90" s="102">
        <v>0.10133410153448864</v>
      </c>
      <c r="H90" s="102">
        <v>-1.0838957672194044E-3</v>
      </c>
      <c r="I90" s="102">
        <v>5.0025860335329037E-3</v>
      </c>
      <c r="J90" s="102">
        <v>8.4688060094353819E-3</v>
      </c>
      <c r="K90" s="102">
        <v>-0.4756606397774687</v>
      </c>
    </row>
    <row r="91" spans="1:11" x14ac:dyDescent="0.3">
      <c r="A91" s="4">
        <v>44438</v>
      </c>
      <c r="B91" s="102">
        <v>-1.2830343197073598E-2</v>
      </c>
      <c r="C91" s="102">
        <v>3.5858807105485146E-3</v>
      </c>
      <c r="D91" s="102">
        <v>2.0050266743643866E-2</v>
      </c>
      <c r="E91" s="102">
        <v>1.1691116224350324E-2</v>
      </c>
      <c r="F91" s="102">
        <v>-2.2705845820882191E-2</v>
      </c>
      <c r="G91" s="102">
        <v>-9.4215762163174684E-3</v>
      </c>
      <c r="H91" s="102">
        <v>4.1091037902941073E-3</v>
      </c>
      <c r="I91" s="102">
        <v>-1.841722445261805E-2</v>
      </c>
      <c r="J91" s="102">
        <v>-1.5418437405896039E-2</v>
      </c>
      <c r="K91" s="102">
        <v>5.4416445623342176</v>
      </c>
    </row>
    <row r="92" spans="1:11" x14ac:dyDescent="0.3">
      <c r="A92" s="4">
        <v>44439</v>
      </c>
      <c r="B92" s="102">
        <v>1.3517035144873594E-2</v>
      </c>
      <c r="C92" s="102">
        <v>-3.7070080542349122E-2</v>
      </c>
      <c r="D92" s="102">
        <v>1.4742054104930553E-2</v>
      </c>
      <c r="E92" s="102">
        <v>-2.2712748692909224E-3</v>
      </c>
      <c r="F92" s="102">
        <v>1.0648525032570237E-2</v>
      </c>
      <c r="G92" s="102">
        <v>7.1712772747483452E-4</v>
      </c>
      <c r="H92" s="102">
        <v>1.0100747529587599E-3</v>
      </c>
      <c r="I92" s="102">
        <v>-3.0425025106555919E-3</v>
      </c>
      <c r="J92" s="102">
        <v>1.2723548029272858E-2</v>
      </c>
      <c r="K92" s="102">
        <v>-0.48311715050442661</v>
      </c>
    </row>
    <row r="93" spans="1:11" x14ac:dyDescent="0.3">
      <c r="A93" s="4">
        <v>44440</v>
      </c>
      <c r="B93" s="102">
        <v>2.5632736890207196E-4</v>
      </c>
      <c r="C93" s="102">
        <v>6.2616351625174498E-3</v>
      </c>
      <c r="D93" s="102">
        <v>-2.1791824895737749E-2</v>
      </c>
      <c r="E93" s="102">
        <v>-5.7112182981263254E-3</v>
      </c>
      <c r="F93" s="102">
        <v>2.6341057329660359E-2</v>
      </c>
      <c r="G93" s="102">
        <v>-2.6212614493515859E-2</v>
      </c>
      <c r="H93" s="102">
        <v>8.0501856736373304E-4</v>
      </c>
      <c r="I93" s="102">
        <v>1.2716155042585902E-2</v>
      </c>
      <c r="J93" s="102">
        <v>1.1459306639244538E-2</v>
      </c>
      <c r="K93" s="102">
        <v>-0.30810595498904603</v>
      </c>
    </row>
    <row r="94" spans="1:11" x14ac:dyDescent="0.3">
      <c r="A94" s="4">
        <v>44441</v>
      </c>
      <c r="B94" s="102">
        <v>-4.1025264732620047E-3</v>
      </c>
      <c r="C94" s="102">
        <v>-4.8398294462792327E-3</v>
      </c>
      <c r="D94" s="102">
        <v>1.9802117525061919E-2</v>
      </c>
      <c r="E94" s="102">
        <v>6.3867524281567035E-3</v>
      </c>
      <c r="F94" s="102">
        <v>1.2599196957798455E-2</v>
      </c>
      <c r="G94" s="102">
        <v>2.7498818486395137E-3</v>
      </c>
      <c r="H94" s="102">
        <v>-2.9654231658887373E-5</v>
      </c>
      <c r="I94" s="102">
        <v>-1.0547420504445133E-2</v>
      </c>
      <c r="J94" s="102">
        <v>-3.1394643126199597E-3</v>
      </c>
      <c r="K94" s="102">
        <v>0.871042026482441</v>
      </c>
    </row>
    <row r="95" spans="1:11" x14ac:dyDescent="0.3">
      <c r="A95" s="4">
        <v>44442</v>
      </c>
      <c r="B95" s="102">
        <v>7.2090231223342271E-3</v>
      </c>
      <c r="C95" s="102">
        <v>-2.3390505364384442E-2</v>
      </c>
      <c r="D95" s="102">
        <v>-7.2815720044996299E-3</v>
      </c>
      <c r="E95" s="102">
        <v>-1.6205045344080397E-2</v>
      </c>
      <c r="F95" s="102">
        <v>-1.382487437275977E-2</v>
      </c>
      <c r="G95" s="102">
        <v>4.8628799890972518E-2</v>
      </c>
      <c r="H95" s="102">
        <v>-1.3493075531567367E-3</v>
      </c>
      <c r="I95" s="102">
        <v>1.8781621115584308E-2</v>
      </c>
      <c r="J95" s="102">
        <v>3.4231762877987527E-3</v>
      </c>
      <c r="K95" s="102">
        <v>-0.45569230769230767</v>
      </c>
    </row>
    <row r="96" spans="1:11" x14ac:dyDescent="0.3">
      <c r="A96" s="4">
        <v>44445</v>
      </c>
      <c r="B96" s="102">
        <v>1.0224961124718187E-2</v>
      </c>
      <c r="C96" s="102">
        <v>-8.5368489534534374E-3</v>
      </c>
      <c r="D96" s="102">
        <v>1.2224804276340047E-2</v>
      </c>
      <c r="E96" s="102">
        <v>-3.6805749095503021E-2</v>
      </c>
      <c r="F96" s="102">
        <v>4.6729242936330495E-3</v>
      </c>
      <c r="G96" s="102">
        <v>-4.1364250667215968E-2</v>
      </c>
      <c r="H96" s="102">
        <v>6.5737702484000493E-3</v>
      </c>
      <c r="I96" s="102">
        <v>-1.3452882523181843E-2</v>
      </c>
      <c r="J96" s="102">
        <v>2.3199215801318774E-3</v>
      </c>
      <c r="K96" s="102">
        <v>-5.0593555681175809E-2</v>
      </c>
    </row>
    <row r="97" spans="1:11" x14ac:dyDescent="0.3">
      <c r="A97" s="4">
        <v>44446</v>
      </c>
      <c r="B97" s="102">
        <v>-2.7327920405114847E-2</v>
      </c>
      <c r="C97" s="102">
        <v>2.4396035864599416E-2</v>
      </c>
      <c r="D97" s="102">
        <v>-5.5555541883831841E-2</v>
      </c>
      <c r="E97" s="102">
        <v>-5.2954490883107275E-3</v>
      </c>
      <c r="F97" s="102">
        <v>-1.7674465578350597E-2</v>
      </c>
      <c r="G97" s="102">
        <v>6.6471218532572667E-3</v>
      </c>
      <c r="H97" s="102">
        <v>-9.8460403798275218E-4</v>
      </c>
      <c r="I97" s="102">
        <v>-5.0499178689843258E-4</v>
      </c>
      <c r="J97" s="102">
        <v>7.0796779786140036E-3</v>
      </c>
      <c r="K97" s="102">
        <v>0.51354569812444184</v>
      </c>
    </row>
    <row r="98" spans="1:11" x14ac:dyDescent="0.3">
      <c r="A98" s="4">
        <v>44447</v>
      </c>
      <c r="B98" s="102">
        <v>-2.7835588146766361E-2</v>
      </c>
      <c r="C98" s="102">
        <v>-2.3114629165812865E-2</v>
      </c>
      <c r="D98" s="102">
        <v>0</v>
      </c>
      <c r="E98" s="102">
        <v>-1.2521396988251051E-2</v>
      </c>
      <c r="F98" s="102">
        <v>-7.5757830190902545E-3</v>
      </c>
      <c r="G98" s="102">
        <v>2.7749228128906931E-2</v>
      </c>
      <c r="H98" s="102">
        <v>4.532904159345469E-3</v>
      </c>
      <c r="I98" s="102">
        <v>-1.5159219822120993E-2</v>
      </c>
      <c r="J98" s="102">
        <v>7.0297946428461216E-3</v>
      </c>
      <c r="K98" s="102">
        <v>0.43686073957513771</v>
      </c>
    </row>
    <row r="99" spans="1:11" x14ac:dyDescent="0.3">
      <c r="A99" s="4">
        <v>44448</v>
      </c>
      <c r="B99" s="102">
        <v>3.7463416117517355E-3</v>
      </c>
      <c r="C99" s="102">
        <v>-9.5602517079032574E-3</v>
      </c>
      <c r="D99" s="102">
        <v>-1.278784507209226E-2</v>
      </c>
      <c r="E99" s="102">
        <v>-2.3850578705029515E-2</v>
      </c>
      <c r="F99" s="102">
        <v>1.1927550539858113E-2</v>
      </c>
      <c r="G99" s="102">
        <v>2.0537765708320277E-2</v>
      </c>
      <c r="H99" s="102">
        <v>-3.2079548461063237E-3</v>
      </c>
      <c r="I99" s="102">
        <v>-8.2092771975770737E-3</v>
      </c>
      <c r="J99" s="102">
        <v>-1.570687797648334E-2</v>
      </c>
      <c r="K99" s="102">
        <v>-0.19685147159479807</v>
      </c>
    </row>
    <row r="100" spans="1:11" x14ac:dyDescent="0.3">
      <c r="A100" s="4">
        <v>44449</v>
      </c>
      <c r="B100" s="102">
        <v>-1.3596290423603271E-2</v>
      </c>
      <c r="C100" s="102">
        <v>2.7027095438670986E-2</v>
      </c>
      <c r="D100" s="102">
        <v>-7.7717786643891236E-3</v>
      </c>
      <c r="E100" s="102">
        <v>2.1914906331265437E-2</v>
      </c>
      <c r="F100" s="102">
        <v>-1.4145651949657701E-3</v>
      </c>
      <c r="G100" s="102">
        <v>1.2554972477183403E-2</v>
      </c>
      <c r="H100" s="102">
        <v>-4.7186678610792771E-4</v>
      </c>
      <c r="I100" s="102">
        <v>7.7598508607703174E-3</v>
      </c>
      <c r="J100" s="102">
        <v>4.9101687482417822E-3</v>
      </c>
      <c r="K100" s="102">
        <v>0.28992670870973242</v>
      </c>
    </row>
    <row r="101" spans="1:11" x14ac:dyDescent="0.3">
      <c r="A101" s="4">
        <v>44452</v>
      </c>
      <c r="B101" s="102">
        <v>-2.1892094551147601E-2</v>
      </c>
      <c r="C101" s="102">
        <v>1.4097148563413614E-3</v>
      </c>
      <c r="D101" s="102">
        <v>1.8276720729568614E-2</v>
      </c>
      <c r="E101" s="102">
        <v>-2.1228652782906143E-2</v>
      </c>
      <c r="F101" s="102">
        <v>1.4165690242036754E-3</v>
      </c>
      <c r="G101" s="102">
        <v>-6.1277992426609799E-2</v>
      </c>
      <c r="H101" s="102">
        <v>-2.0321979825548625E-3</v>
      </c>
      <c r="I101" s="102">
        <v>-8.2134917792508373E-3</v>
      </c>
      <c r="J101" s="102">
        <v>-2.9860707465332553E-3</v>
      </c>
      <c r="K101" s="102">
        <v>-9.1966173361522199E-2</v>
      </c>
    </row>
    <row r="102" spans="1:11" x14ac:dyDescent="0.3">
      <c r="A102" s="4">
        <v>44453</v>
      </c>
      <c r="B102" s="102">
        <v>-1.0776287932048927E-2</v>
      </c>
      <c r="C102" s="102">
        <v>-1.5954924230663529E-2</v>
      </c>
      <c r="D102" s="102">
        <v>3.696084347578478E-2</v>
      </c>
      <c r="E102" s="102">
        <v>2.725497275000744E-2</v>
      </c>
      <c r="F102" s="102">
        <v>-1.1786960967210377E-2</v>
      </c>
      <c r="G102" s="102">
        <v>6.1640414551549037E-3</v>
      </c>
      <c r="H102" s="102">
        <v>2.298731632321326E-3</v>
      </c>
      <c r="I102" s="102">
        <v>-2.1739147726016324E-2</v>
      </c>
      <c r="J102" s="102">
        <v>1.8922008447634243E-2</v>
      </c>
      <c r="K102" s="102">
        <v>0.35273573923166474</v>
      </c>
    </row>
    <row r="103" spans="1:11" x14ac:dyDescent="0.3">
      <c r="A103" s="4">
        <v>44454</v>
      </c>
      <c r="B103" s="102">
        <v>5.5859611563256729E-4</v>
      </c>
      <c r="C103" s="102">
        <v>-2.2651323983399779E-2</v>
      </c>
      <c r="D103" s="102">
        <v>-3.9603925475915451E-2</v>
      </c>
      <c r="E103" s="102">
        <v>2.2274737264312602E-2</v>
      </c>
      <c r="F103" s="102">
        <v>-1.7175560190722642E-2</v>
      </c>
      <c r="G103" s="102">
        <v>-1.6362207748654788E-2</v>
      </c>
      <c r="H103" s="102">
        <v>-5.6045957685308876E-4</v>
      </c>
      <c r="I103" s="102">
        <v>1.3227547213072965E-2</v>
      </c>
      <c r="J103" s="102">
        <v>-2.1376700883967512E-3</v>
      </c>
      <c r="K103" s="102">
        <v>0.64888123924268504</v>
      </c>
    </row>
    <row r="104" spans="1:11" x14ac:dyDescent="0.3">
      <c r="A104" s="4">
        <v>44456</v>
      </c>
      <c r="B104" s="102">
        <v>1.5075411794343322E-2</v>
      </c>
      <c r="C104" s="102">
        <v>-5.6112153145875887E-3</v>
      </c>
      <c r="D104" s="102">
        <v>-3.8659856688269892E-2</v>
      </c>
      <c r="E104" s="102">
        <v>-2.3766378055227622E-2</v>
      </c>
      <c r="F104" s="102">
        <v>-1.4562618264101108E-3</v>
      </c>
      <c r="G104" s="102">
        <v>3.9381017408123886E-2</v>
      </c>
      <c r="H104" s="102">
        <v>-4.9547322673710974E-3</v>
      </c>
      <c r="I104" s="102">
        <v>9.3995080613296002E-3</v>
      </c>
      <c r="J104" s="102">
        <v>3.882799051372439E-3</v>
      </c>
      <c r="K104" s="102">
        <v>-0.34609864300626303</v>
      </c>
    </row>
    <row r="105" spans="1:11" x14ac:dyDescent="0.3">
      <c r="A105" s="4">
        <v>44459</v>
      </c>
      <c r="B105" s="102">
        <v>-3.850406496275203E-3</v>
      </c>
      <c r="C105" s="102">
        <v>2.3255832368224247E-2</v>
      </c>
      <c r="D105" s="102">
        <v>3.485255130607709E-2</v>
      </c>
      <c r="E105" s="102">
        <v>2.7705880150323072E-2</v>
      </c>
      <c r="F105" s="102">
        <v>-1.4584813363378156E-3</v>
      </c>
      <c r="G105" s="102">
        <v>-2.0284286668118358E-2</v>
      </c>
      <c r="H105" s="102">
        <v>2.5953706003834171E-3</v>
      </c>
      <c r="I105" s="102">
        <v>-1.707198988778787E-2</v>
      </c>
      <c r="J105" s="102">
        <v>8.8540964193056845E-3</v>
      </c>
      <c r="K105" s="102">
        <v>-0.14795969270677442</v>
      </c>
    </row>
    <row r="106" spans="1:11" x14ac:dyDescent="0.3">
      <c r="A106" s="4">
        <v>44460</v>
      </c>
      <c r="B106" s="102">
        <v>1.5184998148296673E-2</v>
      </c>
      <c r="C106" s="102">
        <v>-2.4050141181797937E-3</v>
      </c>
      <c r="D106" s="102">
        <v>6.4766948672123972E-2</v>
      </c>
      <c r="E106" s="102">
        <v>-4.1854362362388443E-5</v>
      </c>
      <c r="F106" s="102">
        <v>-2.2882276086428833E-2</v>
      </c>
      <c r="G106" s="102">
        <v>0.10621885739312606</v>
      </c>
      <c r="H106" s="102">
        <v>3.0952882833907521E-3</v>
      </c>
      <c r="I106" s="102">
        <v>1.9473792844188237E-2</v>
      </c>
      <c r="J106" s="102">
        <v>-1.3297788289136333E-2</v>
      </c>
      <c r="K106" s="102">
        <v>1.7915690866510538E-2</v>
      </c>
    </row>
    <row r="107" spans="1:11" x14ac:dyDescent="0.3">
      <c r="A107" s="4">
        <v>44461</v>
      </c>
      <c r="B107" s="102">
        <v>1.6317612359013512E-2</v>
      </c>
      <c r="C107" s="102">
        <v>-5.3037721975591548E-3</v>
      </c>
      <c r="D107" s="102">
        <v>-2.4332424602543576E-3</v>
      </c>
      <c r="E107" s="102">
        <v>3.8238942565594937E-2</v>
      </c>
      <c r="F107" s="102">
        <v>1.4949145162304338E-3</v>
      </c>
      <c r="G107" s="102">
        <v>-5.0860252406605674E-2</v>
      </c>
      <c r="H107" s="102">
        <v>1.1428655695158397E-3</v>
      </c>
      <c r="I107" s="102">
        <v>-5.6789645491798994E-3</v>
      </c>
      <c r="J107" s="102">
        <v>-2.1563367788113041E-3</v>
      </c>
      <c r="K107" s="102">
        <v>-5.2340963994018178E-2</v>
      </c>
    </row>
    <row r="108" spans="1:11" x14ac:dyDescent="0.3">
      <c r="A108" s="4">
        <v>44462</v>
      </c>
      <c r="B108" s="102">
        <v>1.0971363605641628E-2</v>
      </c>
      <c r="C108" s="102">
        <v>1.2360693020564591E-2</v>
      </c>
      <c r="D108" s="102">
        <v>-1.7073001809399951E-2</v>
      </c>
      <c r="E108" s="102">
        <v>5.1086357714640054E-2</v>
      </c>
      <c r="F108" s="102">
        <v>1.0447704053324123E-2</v>
      </c>
      <c r="G108" s="102">
        <v>4.7905021204410335E-2</v>
      </c>
      <c r="H108" s="102">
        <v>2.2610271102305262E-3</v>
      </c>
      <c r="I108" s="102">
        <v>4.1536821435552039E-3</v>
      </c>
      <c r="J108" s="102">
        <v>1.3507341901654256E-3</v>
      </c>
      <c r="K108" s="102">
        <v>-0.26438455935906774</v>
      </c>
    </row>
    <row r="109" spans="1:11" x14ac:dyDescent="0.3">
      <c r="A109" s="4">
        <v>44463</v>
      </c>
      <c r="B109" s="102">
        <v>3.0704123274266373E-2</v>
      </c>
      <c r="C109" s="102">
        <v>1.0294497885081504E-2</v>
      </c>
      <c r="D109" s="102">
        <v>-2.4815449928403243E-3</v>
      </c>
      <c r="E109" s="102">
        <v>6.4317694460959626E-2</v>
      </c>
      <c r="F109" s="102">
        <v>3.0526876479230622E-2</v>
      </c>
      <c r="G109" s="102">
        <v>-7.6237781856187167E-2</v>
      </c>
      <c r="H109" s="102">
        <v>-2.7188689505164488E-4</v>
      </c>
      <c r="I109" s="102">
        <v>-1.4994886914872186E-2</v>
      </c>
      <c r="J109" s="102">
        <v>1.2139729606105054E-3</v>
      </c>
      <c r="K109" s="102">
        <v>-0.41105610561056105</v>
      </c>
    </row>
    <row r="110" spans="1:11" x14ac:dyDescent="0.3">
      <c r="A110" s="4">
        <v>44466</v>
      </c>
      <c r="B110" s="102">
        <v>6.9337200976781546E-3</v>
      </c>
      <c r="C110" s="102">
        <v>4.0284268155868677E-2</v>
      </c>
      <c r="D110" s="102">
        <v>-1.2437579181144123E-2</v>
      </c>
      <c r="E110" s="102">
        <v>-5.2019657334609282E-2</v>
      </c>
      <c r="F110" s="102">
        <v>1.6244643760468021E-2</v>
      </c>
      <c r="G110" s="102">
        <v>4.4852394394588654E-3</v>
      </c>
      <c r="H110" s="102">
        <v>-1.6023638541996419E-3</v>
      </c>
      <c r="I110" s="102">
        <v>-6.8241068104418212E-3</v>
      </c>
      <c r="J110" s="102">
        <v>1.212402332102755E-3</v>
      </c>
      <c r="K110" s="102">
        <v>0.11599887923788176</v>
      </c>
    </row>
    <row r="111" spans="1:11" x14ac:dyDescent="0.3">
      <c r="A111" s="4">
        <v>44467</v>
      </c>
      <c r="B111" s="102">
        <v>0.14078043796462766</v>
      </c>
      <c r="C111" s="102">
        <v>-7.7448851918268382E-3</v>
      </c>
      <c r="D111" s="102">
        <v>3.2745332990828657E-2</v>
      </c>
      <c r="E111" s="102">
        <v>-1.8126402566306963E-2</v>
      </c>
      <c r="F111" s="102">
        <v>9.5439619218999086E-2</v>
      </c>
      <c r="G111" s="102">
        <v>1.3991256009200651E-2</v>
      </c>
      <c r="H111" s="102">
        <v>8.8345075866340524E-4</v>
      </c>
      <c r="I111" s="102">
        <v>0</v>
      </c>
      <c r="J111" s="102">
        <v>4.4403079452725132E-3</v>
      </c>
      <c r="K111" s="102">
        <v>0.8305297514436355</v>
      </c>
    </row>
    <row r="112" spans="1:11" x14ac:dyDescent="0.3">
      <c r="A112" s="4">
        <v>44468</v>
      </c>
      <c r="B112" s="102">
        <v>-5.8126486851130102E-2</v>
      </c>
      <c r="C112" s="102">
        <v>2.1808979252202466E-2</v>
      </c>
      <c r="D112" s="102">
        <v>1.2195391379272379E-2</v>
      </c>
      <c r="E112" s="102">
        <v>8.9590003971672348E-3</v>
      </c>
      <c r="F112" s="102">
        <v>6.8669499964257641E-2</v>
      </c>
      <c r="G112" s="102">
        <v>-1.9743137614678836E-2</v>
      </c>
      <c r="H112" s="102">
        <v>-2.7583467572876567E-4</v>
      </c>
      <c r="I112" s="102">
        <v>1.5856559324804798E-3</v>
      </c>
      <c r="J112" s="102">
        <v>1.4199512636794993E-2</v>
      </c>
      <c r="K112" s="102">
        <v>-0.30585653545467012</v>
      </c>
    </row>
    <row r="113" spans="1:11" x14ac:dyDescent="0.3">
      <c r="A113" s="4">
        <v>44469</v>
      </c>
      <c r="B113" s="102">
        <v>-2.8483296784733835E-2</v>
      </c>
      <c r="C113" s="102">
        <v>-7.8634063754848167E-3</v>
      </c>
      <c r="D113" s="102">
        <v>7.2286320043849278E-3</v>
      </c>
      <c r="E113" s="102">
        <v>3.8438964588108026E-3</v>
      </c>
      <c r="F113" s="102">
        <v>-2.851404684504337E-2</v>
      </c>
      <c r="G113" s="102">
        <v>-1.8381267190425092E-2</v>
      </c>
      <c r="H113" s="102">
        <v>1.8210111578320072E-3</v>
      </c>
      <c r="I113" s="102">
        <v>-2.6385399725614234E-3</v>
      </c>
      <c r="J113" s="102">
        <v>6.4719221094753747E-3</v>
      </c>
      <c r="K113" s="102">
        <v>-1.1460185734044654E-2</v>
      </c>
    </row>
    <row r="114" spans="1:11" x14ac:dyDescent="0.3">
      <c r="A114" s="4">
        <v>44470</v>
      </c>
      <c r="B114" s="102">
        <v>-2.0522881850384245E-2</v>
      </c>
      <c r="C114" s="102">
        <v>5.434873192060442E-3</v>
      </c>
      <c r="D114" s="102">
        <v>3.3492979077236244E-2</v>
      </c>
      <c r="E114" s="102">
        <v>2.3511333704809272E-2</v>
      </c>
      <c r="F114" s="102">
        <v>-2.2323337578207054E-2</v>
      </c>
      <c r="G114" s="102">
        <v>-1.6017009817143257E-3</v>
      </c>
      <c r="H114" s="102">
        <v>-1.7919962397455937E-3</v>
      </c>
      <c r="I114" s="102">
        <v>-1.6931199723338487E-2</v>
      </c>
      <c r="J114" s="102">
        <v>8.7928206089823487E-3</v>
      </c>
      <c r="K114" s="102">
        <v>-0.14371377173695782</v>
      </c>
    </row>
    <row r="115" spans="1:11" x14ac:dyDescent="0.3">
      <c r="A115" s="4">
        <v>44473</v>
      </c>
      <c r="B115" s="102">
        <v>2.993271176941039E-2</v>
      </c>
      <c r="C115" s="102">
        <v>-2.7027067423500761E-2</v>
      </c>
      <c r="D115" s="102">
        <v>2.0833225352132681E-2</v>
      </c>
      <c r="E115" s="102">
        <v>-3.3669546538583504E-3</v>
      </c>
      <c r="F115" s="102">
        <v>1.3953519685236419E-2</v>
      </c>
      <c r="G115" s="102">
        <v>-1.5164833887912134E-2</v>
      </c>
      <c r="H115" s="102">
        <v>-1.5193095786398931E-3</v>
      </c>
      <c r="I115" s="102">
        <v>3.2292892404242163E-3</v>
      </c>
      <c r="J115" s="102">
        <v>4.2929148404125435E-3</v>
      </c>
      <c r="K115" s="102">
        <v>-0.13585434173669467</v>
      </c>
    </row>
    <row r="116" spans="1:11" x14ac:dyDescent="0.3">
      <c r="A116" s="4">
        <v>44474</v>
      </c>
      <c r="B116" s="102">
        <v>-3.8750947642426721E-3</v>
      </c>
      <c r="C116" s="102">
        <v>5.5555315041241459E-3</v>
      </c>
      <c r="D116" s="102">
        <v>6.8029173361421631E-3</v>
      </c>
      <c r="E116" s="102">
        <v>-1.4227321076530844E-2</v>
      </c>
      <c r="F116" s="102">
        <v>-1.2093497645621282E-2</v>
      </c>
      <c r="G116" s="102">
        <v>-1.3148762345662257E-2</v>
      </c>
      <c r="H116" s="102">
        <v>6.9007188095247364E-3</v>
      </c>
      <c r="I116" s="102">
        <v>-6.4377340372139416E-3</v>
      </c>
      <c r="J116" s="102">
        <v>-8.1605876797577939E-3</v>
      </c>
      <c r="K116" s="102">
        <v>0.63992436520799567</v>
      </c>
    </row>
    <row r="117" spans="1:11" x14ac:dyDescent="0.3">
      <c r="A117" s="4">
        <v>44475</v>
      </c>
      <c r="B117" s="102">
        <v>1.4587959310676043E-2</v>
      </c>
      <c r="C117" s="102">
        <v>4.3738774146326823E-3</v>
      </c>
      <c r="D117" s="102">
        <v>1.8017770204088474E-2</v>
      </c>
      <c r="E117" s="102">
        <v>-6.7783351148012014E-3</v>
      </c>
      <c r="F117" s="102">
        <v>1.0553037976755837E-2</v>
      </c>
      <c r="G117" s="102">
        <v>-1.7332818933811771E-2</v>
      </c>
      <c r="H117" s="102">
        <v>2.8065014233755827E-3</v>
      </c>
      <c r="I117" s="102">
        <v>-1.0799539297837726E-3</v>
      </c>
      <c r="J117" s="102">
        <v>2.6120021112282813E-3</v>
      </c>
      <c r="K117" s="102">
        <v>0.14462197331576346</v>
      </c>
    </row>
    <row r="118" spans="1:11" x14ac:dyDescent="0.3">
      <c r="A118" s="4">
        <v>44476</v>
      </c>
      <c r="B118" s="102">
        <v>-2.4442868504166063E-2</v>
      </c>
      <c r="C118" s="102">
        <v>-5.500870546543953E-3</v>
      </c>
      <c r="D118" s="102">
        <v>2.6548764228824764E-2</v>
      </c>
      <c r="E118" s="102">
        <v>2.2619417030153976E-3</v>
      </c>
      <c r="F118" s="102">
        <v>2.2556456496538584E-2</v>
      </c>
      <c r="G118" s="102">
        <v>-3.0797695691581546E-3</v>
      </c>
      <c r="H118" s="102">
        <v>8.7936627247211423E-4</v>
      </c>
      <c r="I118" s="102">
        <v>-8.1081619882490737E-3</v>
      </c>
      <c r="J118" s="102">
        <v>-7.6852619225430911E-3</v>
      </c>
      <c r="K118" s="102">
        <v>-0.28104763275291411</v>
      </c>
    </row>
    <row r="119" spans="1:11" x14ac:dyDescent="0.3">
      <c r="A119" s="4">
        <v>44477</v>
      </c>
      <c r="B119" s="102">
        <v>-1.6457860471261992E-2</v>
      </c>
      <c r="C119" s="102">
        <v>3.1804641975889954E-2</v>
      </c>
      <c r="D119" s="102">
        <v>-6.4654841501757274E-3</v>
      </c>
      <c r="E119" s="102">
        <v>1.4115746266024472E-2</v>
      </c>
      <c r="F119" s="102">
        <v>-3.267944425764197E-3</v>
      </c>
      <c r="G119" s="102">
        <v>2.435308726178537E-2</v>
      </c>
      <c r="H119" s="102">
        <v>2.6467178511276053E-3</v>
      </c>
      <c r="I119" s="102">
        <v>5.4500744262889699E-4</v>
      </c>
      <c r="J119" s="102">
        <v>-4.2005819432314358E-3</v>
      </c>
      <c r="K119" s="102">
        <v>-9.4075260208166533E-3</v>
      </c>
    </row>
    <row r="120" spans="1:11" x14ac:dyDescent="0.3">
      <c r="A120" s="4">
        <v>44480</v>
      </c>
      <c r="B120" s="102">
        <v>3.7712287686418225E-2</v>
      </c>
      <c r="C120" s="102">
        <v>-1.8539270539707668E-2</v>
      </c>
      <c r="D120" s="102">
        <v>1.9522676002792446E-2</v>
      </c>
      <c r="E120" s="102">
        <v>2.5274604165314773E-3</v>
      </c>
      <c r="F120" s="102">
        <v>-1.639353650342543E-2</v>
      </c>
      <c r="G120" s="102">
        <v>-1.2533338211916998E-2</v>
      </c>
      <c r="H120" s="102">
        <v>-5.0540308623130169E-4</v>
      </c>
      <c r="I120" s="102">
        <v>7.0805678381719722E-3</v>
      </c>
      <c r="J120" s="102">
        <v>5.0091379099757288E-3</v>
      </c>
      <c r="K120" s="102">
        <v>-0.29298848252172155</v>
      </c>
    </row>
    <row r="121" spans="1:11" x14ac:dyDescent="0.3">
      <c r="A121" s="4">
        <v>44481</v>
      </c>
      <c r="B121" s="102">
        <v>1.6846392042534398E-3</v>
      </c>
      <c r="C121" s="102">
        <v>-9.7859853189853525E-3</v>
      </c>
      <c r="D121" s="102">
        <v>-8.510523113169759E-3</v>
      </c>
      <c r="E121" s="102">
        <v>-1.1665213278223858E-3</v>
      </c>
      <c r="F121" s="102">
        <v>-2.9166508471093451E-3</v>
      </c>
      <c r="G121" s="102">
        <v>-1.2414683730261031E-2</v>
      </c>
      <c r="H121" s="102">
        <v>1.7970890068354662E-3</v>
      </c>
      <c r="I121" s="102">
        <v>-1.6225316702291662E-3</v>
      </c>
      <c r="J121" s="102">
        <v>5.3779209742652002E-3</v>
      </c>
      <c r="K121" s="102">
        <v>0.64647042012003431</v>
      </c>
    </row>
    <row r="122" spans="1:11" x14ac:dyDescent="0.3">
      <c r="A122" s="4">
        <v>44482</v>
      </c>
      <c r="B122" s="102">
        <v>-7.6885654782276342E-3</v>
      </c>
      <c r="C122" s="102">
        <v>-2.2982640653418471E-4</v>
      </c>
      <c r="D122" s="102">
        <v>-4.2918961112596212E-3</v>
      </c>
      <c r="E122" s="102">
        <v>-9.0784929841219841E-3</v>
      </c>
      <c r="F122" s="102">
        <v>1.2536144162354076E-3</v>
      </c>
      <c r="G122" s="102">
        <v>1.899673041092553E-2</v>
      </c>
      <c r="H122" s="102">
        <v>-6.1369075069992319E-4</v>
      </c>
      <c r="I122" s="102">
        <v>-1.4626128541487314E-2</v>
      </c>
      <c r="J122" s="102">
        <v>-9.0022378521513492E-3</v>
      </c>
      <c r="K122" s="102">
        <v>-0.5415726436382573</v>
      </c>
    </row>
    <row r="123" spans="1:11" x14ac:dyDescent="0.3">
      <c r="A123" s="4">
        <v>44483</v>
      </c>
      <c r="B123" s="102">
        <v>0</v>
      </c>
      <c r="C123" s="102">
        <v>-1.149396194267772E-3</v>
      </c>
      <c r="D123" s="102">
        <v>6.4657034975821289E-3</v>
      </c>
      <c r="E123" s="102">
        <v>7.0709453415435108E-3</v>
      </c>
      <c r="F123" s="102">
        <v>-5.467451432734198E-2</v>
      </c>
      <c r="G123" s="102">
        <v>-1.6948131732034267E-3</v>
      </c>
      <c r="H123" s="102">
        <v>3.9460201879265196E-3</v>
      </c>
      <c r="I123" s="102">
        <v>-1.2094671483576454E-2</v>
      </c>
      <c r="J123" s="102">
        <v>1.6851009041554284E-2</v>
      </c>
      <c r="K123" s="102">
        <v>0.61416130253691781</v>
      </c>
    </row>
    <row r="124" spans="1:11" x14ac:dyDescent="0.3">
      <c r="A124" s="4">
        <v>44484</v>
      </c>
      <c r="B124" s="102">
        <v>3.6319653622539656E-3</v>
      </c>
      <c r="C124" s="102">
        <v>9.8963670377663331E-3</v>
      </c>
      <c r="D124" s="102">
        <v>7.286548522324101E-3</v>
      </c>
      <c r="E124" s="102">
        <v>2.5329336367216071E-2</v>
      </c>
      <c r="F124" s="102">
        <v>2.163369931163998E-2</v>
      </c>
      <c r="G124" s="102">
        <v>1.4608196542528894E-3</v>
      </c>
      <c r="H124" s="102">
        <v>-9.0843286283026137E-4</v>
      </c>
      <c r="I124" s="102">
        <v>-3.8953276705601904E-3</v>
      </c>
      <c r="J124" s="102">
        <v>-3.3659307104067777E-3</v>
      </c>
      <c r="K124" s="102">
        <v>-0.20994604738447104</v>
      </c>
    </row>
    <row r="125" spans="1:11" x14ac:dyDescent="0.3">
      <c r="A125" s="4">
        <v>44487</v>
      </c>
      <c r="B125" s="102">
        <v>5.1628466114690269E-2</v>
      </c>
      <c r="C125" s="102">
        <v>-1.230632256183424E-2</v>
      </c>
      <c r="D125" s="102">
        <v>-3.8297977298892283E-2</v>
      </c>
      <c r="E125" s="102">
        <v>-2.2236995062435611E-2</v>
      </c>
      <c r="F125" s="102">
        <v>-3.8893659699297548E-2</v>
      </c>
      <c r="G125" s="102">
        <v>-9.2249348068289966E-3</v>
      </c>
      <c r="H125" s="102">
        <v>1.39105738473977E-3</v>
      </c>
      <c r="I125" s="102">
        <v>-2.7932575610114894E-3</v>
      </c>
      <c r="J125" s="102">
        <v>9.0937305135081054E-4</v>
      </c>
      <c r="K125" s="102">
        <v>0.53770783847980996</v>
      </c>
    </row>
    <row r="126" spans="1:11" x14ac:dyDescent="0.3">
      <c r="A126" s="4">
        <v>44488</v>
      </c>
      <c r="B126" s="102">
        <v>2.8446914047518188E-2</v>
      </c>
      <c r="C126" s="102">
        <v>-5.3068579109095144E-3</v>
      </c>
      <c r="D126" s="102">
        <v>-1.5486582314933162E-2</v>
      </c>
      <c r="E126" s="102">
        <v>5.8852353078244261E-2</v>
      </c>
      <c r="F126" s="102">
        <v>2.5629430932002761E-2</v>
      </c>
      <c r="G126" s="102">
        <v>3.4179519181694158E-2</v>
      </c>
      <c r="H126" s="102">
        <v>1.6785260804606378E-3</v>
      </c>
      <c r="I126" s="102">
        <v>-1.9047642551555985E-2</v>
      </c>
      <c r="J126" s="102">
        <v>2.0763719364285203E-3</v>
      </c>
      <c r="K126" s="102">
        <v>6.1015640084958488E-2</v>
      </c>
    </row>
    <row r="127" spans="1:11" x14ac:dyDescent="0.3">
      <c r="A127" s="4">
        <v>44489</v>
      </c>
      <c r="B127" s="102">
        <v>6.691307156833046E-4</v>
      </c>
      <c r="C127" s="102">
        <v>1.2758065043556173E-2</v>
      </c>
      <c r="D127" s="102">
        <v>-2.2472351740523092E-3</v>
      </c>
      <c r="E127" s="102">
        <v>-8.3211884345183677E-3</v>
      </c>
      <c r="F127" s="102">
        <v>-5.260846417520117E-3</v>
      </c>
      <c r="G127" s="102">
        <v>-1.1965741803459131E-2</v>
      </c>
      <c r="H127" s="102">
        <v>6.03112348635154E-4</v>
      </c>
      <c r="I127" s="102">
        <v>-8.566415124211765E-3</v>
      </c>
      <c r="J127" s="102">
        <v>5.6988621711728509E-3</v>
      </c>
      <c r="K127" s="102">
        <v>-0.39781619654231121</v>
      </c>
    </row>
    <row r="128" spans="1:11" x14ac:dyDescent="0.3">
      <c r="A128" s="4">
        <v>44490</v>
      </c>
      <c r="B128" s="102">
        <v>-2.6972729505236558E-2</v>
      </c>
      <c r="C128" s="102">
        <v>-9.3906936711013276E-3</v>
      </c>
      <c r="D128" s="102">
        <v>1.1261254039544599E-2</v>
      </c>
      <c r="E128" s="102">
        <v>-1.6925328557061522E-2</v>
      </c>
      <c r="F128" s="102">
        <v>-1.3222107334750649E-3</v>
      </c>
      <c r="G128" s="102">
        <v>1.9158930023003118E-2</v>
      </c>
      <c r="H128" s="102">
        <v>-1.6819218664280925E-3</v>
      </c>
      <c r="I128" s="102">
        <v>-2.8803212589756915E-3</v>
      </c>
      <c r="J128" s="102">
        <v>3.8633946914268589E-3</v>
      </c>
      <c r="K128" s="102">
        <v>2.085222121486854E-2</v>
      </c>
    </row>
    <row r="129" spans="1:11" x14ac:dyDescent="0.3">
      <c r="A129" s="4">
        <v>44491</v>
      </c>
      <c r="B129" s="102">
        <v>-1.580768667714216E-2</v>
      </c>
      <c r="C129" s="102">
        <v>-1.4566593419408297E-2</v>
      </c>
      <c r="D129" s="102">
        <v>6.6814196471017932E-3</v>
      </c>
      <c r="E129" s="102">
        <v>-6.5293487181259484E-3</v>
      </c>
      <c r="F129" s="102">
        <v>-2.5154482395897498E-2</v>
      </c>
      <c r="G129" s="102">
        <v>2.9076822447360418E-2</v>
      </c>
      <c r="H129" s="102">
        <v>-8.9299271867466514E-4</v>
      </c>
      <c r="I129" s="102">
        <v>2.9462746302138968E-2</v>
      </c>
      <c r="J129" s="102">
        <v>3.8487276914334176E-3</v>
      </c>
      <c r="K129" s="102">
        <v>-4.9141503848431023E-2</v>
      </c>
    </row>
    <row r="130" spans="1:11" x14ac:dyDescent="0.3">
      <c r="A130" s="4">
        <v>44494</v>
      </c>
      <c r="B130" s="102">
        <v>-2.0949577308276787E-2</v>
      </c>
      <c r="C130" s="102">
        <v>8.9161547013213976E-3</v>
      </c>
      <c r="D130" s="102">
        <v>-4.4246413851442784E-3</v>
      </c>
      <c r="E130" s="102">
        <v>-7.8574047553280763E-3</v>
      </c>
      <c r="F130" s="102">
        <v>1.5391598810002436E-2</v>
      </c>
      <c r="G130" s="102">
        <v>6.1264028501957094E-3</v>
      </c>
      <c r="H130" s="102">
        <v>-4.2482205600848496E-3</v>
      </c>
      <c r="I130" s="102">
        <v>7.29524577589647E-3</v>
      </c>
      <c r="J130" s="102">
        <v>5.6231060050095155E-3</v>
      </c>
      <c r="K130" s="102">
        <v>1.4894146948941469</v>
      </c>
    </row>
    <row r="131" spans="1:11" x14ac:dyDescent="0.3">
      <c r="A131" s="4">
        <v>44495</v>
      </c>
      <c r="B131" s="102">
        <v>4.1369358876182136E-2</v>
      </c>
      <c r="C131" s="102">
        <v>-2.0465228891271264E-2</v>
      </c>
      <c r="D131" s="102">
        <v>1.1111103578517014E-2</v>
      </c>
      <c r="E131" s="102">
        <v>5.5881889110900099E-3</v>
      </c>
      <c r="F131" s="102">
        <v>-1.73873712392719E-2</v>
      </c>
      <c r="G131" s="102">
        <v>-6.8270939733632513E-3</v>
      </c>
      <c r="H131" s="102">
        <v>5.2693357366339819E-4</v>
      </c>
      <c r="I131" s="102">
        <v>-8.9135824763067299E-3</v>
      </c>
      <c r="J131" s="102">
        <v>5.5913709143385329E-3</v>
      </c>
      <c r="K131" s="102">
        <v>-0.1642071035517759</v>
      </c>
    </row>
    <row r="132" spans="1:11" x14ac:dyDescent="0.3">
      <c r="A132" s="4">
        <v>44496</v>
      </c>
      <c r="B132" s="102">
        <v>-1.6666691128140641E-2</v>
      </c>
      <c r="C132" s="102">
        <v>-8.7843231546159434E-3</v>
      </c>
      <c r="D132" s="102">
        <v>-1.0989003621058733E-2</v>
      </c>
      <c r="E132" s="102">
        <v>-2.0975910077609084E-3</v>
      </c>
      <c r="F132" s="102">
        <v>-1.9056335879137902E-2</v>
      </c>
      <c r="G132" s="102">
        <v>-1.6349087497694291E-3</v>
      </c>
      <c r="H132" s="102">
        <v>1.3765699798782532E-3</v>
      </c>
      <c r="I132" s="102">
        <v>6.1831052594632126E-3</v>
      </c>
      <c r="J132" s="102">
        <v>-6.8243284713962417E-3</v>
      </c>
      <c r="K132" s="102">
        <v>-0.13152775699536137</v>
      </c>
    </row>
    <row r="133" spans="1:11" x14ac:dyDescent="0.3">
      <c r="A133" s="4">
        <v>44497</v>
      </c>
      <c r="B133" s="102">
        <v>-9.2871218015969353E-4</v>
      </c>
      <c r="C133" s="102">
        <v>2.2754468433852204E-2</v>
      </c>
      <c r="D133" s="102">
        <v>2.4444473068301956E-2</v>
      </c>
      <c r="E133" s="102">
        <v>-1.3239623718151987E-2</v>
      </c>
      <c r="F133" s="102">
        <v>1.7576366614711694E-2</v>
      </c>
      <c r="G133" s="102">
        <v>3.5728932705132832E-2</v>
      </c>
      <c r="H133" s="102">
        <v>-2.2633214968389753E-3</v>
      </c>
      <c r="I133" s="102">
        <v>7.2626413576907852E-3</v>
      </c>
      <c r="J133" s="102">
        <v>7.6376478702393745E-4</v>
      </c>
      <c r="K133" s="102">
        <v>-0.31547208821502415</v>
      </c>
    </row>
    <row r="134" spans="1:11" x14ac:dyDescent="0.3">
      <c r="A134" s="4">
        <v>44498</v>
      </c>
      <c r="B134" s="102">
        <v>-2.4633919110306223E-2</v>
      </c>
      <c r="C134" s="102">
        <v>-9.3683862881630009E-4</v>
      </c>
      <c r="D134" s="102">
        <v>-9.7614034545929873E-2</v>
      </c>
      <c r="E134" s="102">
        <v>-3.2738979878097145E-2</v>
      </c>
      <c r="F134" s="102">
        <v>9.0906049263046772E-4</v>
      </c>
      <c r="G134" s="102">
        <v>-2.2566383258121117E-2</v>
      </c>
      <c r="H134" s="102">
        <v>4.8350098336096122E-4</v>
      </c>
      <c r="I134" s="102">
        <v>-3.8824780061191282E-3</v>
      </c>
      <c r="J134" s="102">
        <v>5.2128232068607136E-3</v>
      </c>
      <c r="K134" s="102">
        <v>0.48577900830606596</v>
      </c>
    </row>
    <row r="135" spans="1:11" x14ac:dyDescent="0.3">
      <c r="A135" s="4">
        <v>44501</v>
      </c>
      <c r="B135" s="102">
        <v>-3.6931134033658539E-2</v>
      </c>
      <c r="C135" s="102">
        <v>-1.2658238290597945E-2</v>
      </c>
      <c r="D135" s="102">
        <v>2.4041381977349778E-3</v>
      </c>
      <c r="E135" s="102">
        <v>3.5972383576378719E-2</v>
      </c>
      <c r="F135" s="102">
        <v>2.9064495822448907E-2</v>
      </c>
      <c r="G135" s="102">
        <v>2.7020972500239868E-2</v>
      </c>
      <c r="H135" s="102">
        <v>1.0210384797064791E-3</v>
      </c>
      <c r="I135" s="102">
        <v>-8.3518918888701929E-3</v>
      </c>
      <c r="J135" s="102">
        <v>3.9210214113453911E-3</v>
      </c>
      <c r="K135" s="102">
        <v>-0.15636117228527868</v>
      </c>
    </row>
    <row r="136" spans="1:11" x14ac:dyDescent="0.3">
      <c r="A136" s="4">
        <v>44503</v>
      </c>
      <c r="B136" s="102">
        <v>4.1068783354075933E-2</v>
      </c>
      <c r="C136" s="102">
        <v>-2.3979027437420627E-2</v>
      </c>
      <c r="D136" s="102">
        <v>-3.8369321515507995E-2</v>
      </c>
      <c r="E136" s="102">
        <v>-2.2415398407041397E-2</v>
      </c>
      <c r="F136" s="102">
        <v>6.1783411107880163E-3</v>
      </c>
      <c r="G136" s="102">
        <v>1.002297805822126E-2</v>
      </c>
      <c r="H136" s="102">
        <v>-4.5300935420758016E-3</v>
      </c>
      <c r="I136" s="102">
        <v>2.8074878537481026E-3</v>
      </c>
      <c r="J136" s="102">
        <v>-1.3857582467725863E-3</v>
      </c>
      <c r="K136" s="102">
        <v>-7.1485943775100397E-2</v>
      </c>
    </row>
    <row r="137" spans="1:11" x14ac:dyDescent="0.3">
      <c r="A137" s="4">
        <v>44504</v>
      </c>
      <c r="B137" s="102">
        <v>-2.0912576056567152E-2</v>
      </c>
      <c r="C137" s="102">
        <v>1.3378645872696845E-2</v>
      </c>
      <c r="D137" s="102">
        <v>-1.995026065354974E-2</v>
      </c>
      <c r="E137" s="102">
        <v>-1.3467687685320164E-2</v>
      </c>
      <c r="F137" s="102">
        <v>1.622804321020389E-2</v>
      </c>
      <c r="G137" s="102">
        <v>3.3987793677519175E-2</v>
      </c>
      <c r="H137" s="102">
        <v>2.0164598549460926E-3</v>
      </c>
      <c r="I137" s="102">
        <v>-2.7996279323330635E-3</v>
      </c>
      <c r="J137" s="102">
        <v>-1.4761716295857869E-2</v>
      </c>
      <c r="K137" s="102">
        <v>0.18014705882352941</v>
      </c>
    </row>
    <row r="138" spans="1:11" x14ac:dyDescent="0.3">
      <c r="A138" s="4">
        <v>44505</v>
      </c>
      <c r="B138" s="102">
        <v>-2.2815474827602253E-2</v>
      </c>
      <c r="C138" s="102">
        <v>-3.0004695655510855E-2</v>
      </c>
      <c r="D138" s="102">
        <v>-1.781153759969107E-2</v>
      </c>
      <c r="E138" s="102">
        <v>-1.0596399997722198E-2</v>
      </c>
      <c r="F138" s="102">
        <v>-8.631561814962898E-4</v>
      </c>
      <c r="G138" s="102">
        <v>-5.2990543273350482E-2</v>
      </c>
      <c r="H138" s="102">
        <v>9.2068297937384215E-4</v>
      </c>
      <c r="I138" s="102">
        <v>-6.1762201804001224E-3</v>
      </c>
      <c r="J138" s="102">
        <v>1.7672042874004906E-2</v>
      </c>
      <c r="K138" s="102">
        <v>-0.37932930181418362</v>
      </c>
    </row>
    <row r="139" spans="1:11" x14ac:dyDescent="0.3">
      <c r="A139" s="4">
        <v>44508</v>
      </c>
      <c r="B139" s="102">
        <v>-4.4708459375987315E-3</v>
      </c>
      <c r="C139" s="102">
        <v>8.6612021375227569E-3</v>
      </c>
      <c r="D139" s="102">
        <v>-5.958560006322694E-2</v>
      </c>
      <c r="E139" s="102">
        <v>8.5601821016400102E-3</v>
      </c>
      <c r="F139" s="102">
        <v>4.7515453015787405E-3</v>
      </c>
      <c r="G139" s="102">
        <v>-5.2951625188878915E-2</v>
      </c>
      <c r="H139" s="102">
        <v>-8.0858319790292048E-3</v>
      </c>
      <c r="I139" s="102">
        <v>-1.9774026014617044E-2</v>
      </c>
      <c r="J139" s="102">
        <v>-2.2650181925290412E-2</v>
      </c>
      <c r="K139" s="102">
        <v>-2.3619722468260999E-3</v>
      </c>
    </row>
    <row r="140" spans="1:11" x14ac:dyDescent="0.3">
      <c r="A140" s="4">
        <v>44509</v>
      </c>
      <c r="B140" s="102">
        <v>2.7694390229099985E-2</v>
      </c>
      <c r="C140" s="102">
        <v>1.3493551027625682E-2</v>
      </c>
      <c r="D140" s="102">
        <v>5.5094697776153258E-3</v>
      </c>
      <c r="E140" s="102">
        <v>-2.0733968132269055E-2</v>
      </c>
      <c r="F140" s="102">
        <v>-6.4487923511051979E-3</v>
      </c>
      <c r="G140" s="102">
        <v>-5.140257125426026E-2</v>
      </c>
      <c r="H140" s="102">
        <v>-6.0844863923768604E-4</v>
      </c>
      <c r="I140" s="102">
        <v>1.1527276613659895E-2</v>
      </c>
      <c r="J140" s="102">
        <v>-5.9225078553718832E-3</v>
      </c>
      <c r="K140" s="102">
        <v>1.525895235276709</v>
      </c>
    </row>
    <row r="141" spans="1:11" x14ac:dyDescent="0.3">
      <c r="A141" s="4">
        <v>44510</v>
      </c>
      <c r="B141" s="102">
        <v>-2.646268032779182E-2</v>
      </c>
      <c r="C141" s="102">
        <v>-2.5175499695354629E-2</v>
      </c>
      <c r="D141" s="102">
        <v>-2.7397802213721457E-3</v>
      </c>
      <c r="E141" s="102">
        <v>5.1843603950825498E-3</v>
      </c>
      <c r="F141" s="102">
        <v>-8.2215287458873229E-3</v>
      </c>
      <c r="G141" s="102">
        <v>-3.2996264328698038E-2</v>
      </c>
      <c r="H141" s="102">
        <v>7.8486314407382591E-4</v>
      </c>
      <c r="I141" s="102">
        <v>-8.5469491747344629E-3</v>
      </c>
      <c r="J141" s="102">
        <v>-2.0334129109892168E-2</v>
      </c>
      <c r="K141" s="102">
        <v>-0.49677797305213828</v>
      </c>
    </row>
    <row r="142" spans="1:11" x14ac:dyDescent="0.3">
      <c r="A142" s="4">
        <v>44511</v>
      </c>
      <c r="B142" s="102">
        <v>2.1446445193085768E-2</v>
      </c>
      <c r="C142" s="102">
        <v>-1.8127605305491033E-2</v>
      </c>
      <c r="D142" s="102">
        <v>-1.0988949589398628E-2</v>
      </c>
      <c r="E142" s="102">
        <v>-1.3937553943257307E-2</v>
      </c>
      <c r="F142" s="102">
        <v>6.1081691009704127E-3</v>
      </c>
      <c r="G142" s="102">
        <v>2.0456582443853288E-2</v>
      </c>
      <c r="H142" s="102">
        <v>-4.1594441370161918E-3</v>
      </c>
      <c r="I142" s="102">
        <v>-4.5976964121434271E-3</v>
      </c>
      <c r="J142" s="102">
        <v>2.5515687357470156E-2</v>
      </c>
      <c r="K142" s="102">
        <v>9.8486612339930155E-2</v>
      </c>
    </row>
    <row r="143" spans="1:11" x14ac:dyDescent="0.3">
      <c r="A143" s="4">
        <v>44512</v>
      </c>
      <c r="B143" s="102">
        <v>-2.3193384973024981E-2</v>
      </c>
      <c r="C143" s="102">
        <v>6.5756059909584386E-3</v>
      </c>
      <c r="D143" s="102">
        <v>-3.3333145018459479E-2</v>
      </c>
      <c r="E143" s="102">
        <v>-1.4693540388165692E-2</v>
      </c>
      <c r="F143" s="102">
        <v>-2.6452698175651258E-2</v>
      </c>
      <c r="G143" s="102">
        <v>1.1636002455607825E-2</v>
      </c>
      <c r="H143" s="102">
        <v>3.9008162273955669E-3</v>
      </c>
      <c r="I143" s="102">
        <v>4.0415144993998101E-3</v>
      </c>
      <c r="J143" s="102">
        <v>-1.4954152925626036E-2</v>
      </c>
      <c r="K143" s="102">
        <v>0.5998304366256888</v>
      </c>
    </row>
    <row r="144" spans="1:11" x14ac:dyDescent="0.3">
      <c r="A144" s="4">
        <v>44516</v>
      </c>
      <c r="B144" s="102">
        <v>-9.4976933373665928E-3</v>
      </c>
      <c r="C144" s="102">
        <v>2.2613075102129589E-2</v>
      </c>
      <c r="D144" s="102">
        <v>3.5673031545819626E-2</v>
      </c>
      <c r="E144" s="102">
        <v>-5.8759130267183254E-3</v>
      </c>
      <c r="F144" s="102">
        <v>-8.9092637753646173E-4</v>
      </c>
      <c r="G144" s="102">
        <v>-2.49414521952597E-2</v>
      </c>
      <c r="H144" s="102">
        <v>-5.6488683934633483E-3</v>
      </c>
      <c r="I144" s="102">
        <v>-4.0252464076795166E-3</v>
      </c>
      <c r="J144" s="102">
        <v>4.4495792778921411E-3</v>
      </c>
      <c r="K144" s="102">
        <v>-2.6099629040805511E-2</v>
      </c>
    </row>
    <row r="145" spans="1:11" x14ac:dyDescent="0.3">
      <c r="A145" s="4">
        <v>44517</v>
      </c>
      <c r="B145" s="102">
        <v>1.1859737387623448E-2</v>
      </c>
      <c r="C145" s="102">
        <v>-5.5773954371764134E-2</v>
      </c>
      <c r="D145" s="102">
        <v>1.9444485199100345E-2</v>
      </c>
      <c r="E145" s="102">
        <v>-8.559837207917756E-4</v>
      </c>
      <c r="F145" s="102">
        <v>1.9616629346700699E-2</v>
      </c>
      <c r="G145" s="102">
        <v>-1.2624184289134512E-2</v>
      </c>
      <c r="H145" s="102">
        <v>2.8570691263267475E-3</v>
      </c>
      <c r="I145" s="102">
        <v>8.660447362596288E-3</v>
      </c>
      <c r="J145" s="102">
        <v>5.211738811293277E-3</v>
      </c>
      <c r="K145" s="102">
        <v>-0.37886001904502786</v>
      </c>
    </row>
    <row r="146" spans="1:11" x14ac:dyDescent="0.3">
      <c r="A146" s="4">
        <v>44518</v>
      </c>
      <c r="B146" s="102">
        <v>-4.4887884490989348E-3</v>
      </c>
      <c r="C146" s="102">
        <v>5.4905047281890836E-2</v>
      </c>
      <c r="D146" s="102">
        <v>-4.9046264211936468E-2</v>
      </c>
      <c r="E146" s="102">
        <v>-2.1378283104536346E-2</v>
      </c>
      <c r="F146" s="102">
        <v>1.7490091131286332E-2</v>
      </c>
      <c r="G146" s="102">
        <v>-2.6828714816659101E-3</v>
      </c>
      <c r="H146" s="102">
        <v>2.5474944124221056E-3</v>
      </c>
      <c r="I146" s="102">
        <v>1.1449211978254556E-3</v>
      </c>
      <c r="J146" s="102">
        <v>-2.7219315433586765E-3</v>
      </c>
      <c r="K146" s="102">
        <v>-0.18966272448532631</v>
      </c>
    </row>
    <row r="147" spans="1:11" x14ac:dyDescent="0.3">
      <c r="A147" s="4">
        <v>44519</v>
      </c>
      <c r="B147" s="102">
        <v>-2.580161271864851E-2</v>
      </c>
      <c r="C147" s="102">
        <v>-1.1100140011731706E-2</v>
      </c>
      <c r="D147" s="102">
        <v>1.719205296471318E-2</v>
      </c>
      <c r="E147" s="102">
        <v>-3.3059462919170599E-2</v>
      </c>
      <c r="F147" s="102">
        <v>-9.478612006040707E-3</v>
      </c>
      <c r="G147" s="102">
        <v>-1.2861998018376642E-2</v>
      </c>
      <c r="H147" s="102">
        <v>2.3026858557154061E-3</v>
      </c>
      <c r="I147" s="102">
        <v>2.058313895329163E-2</v>
      </c>
      <c r="J147" s="102">
        <v>-3.8985426281139827E-4</v>
      </c>
      <c r="K147" s="102">
        <v>1.578918918918919</v>
      </c>
    </row>
    <row r="148" spans="1:11" x14ac:dyDescent="0.3">
      <c r="A148" s="4">
        <v>44522</v>
      </c>
      <c r="B148" s="102">
        <v>-3.8055945955781663E-2</v>
      </c>
      <c r="C148" s="102">
        <v>1.3719060657206397E-2</v>
      </c>
      <c r="D148" s="102">
        <v>-1.4084615849012549E-2</v>
      </c>
      <c r="E148" s="102">
        <v>1.7763180123950607E-2</v>
      </c>
      <c r="F148" s="102">
        <v>8.6994245807887824E-3</v>
      </c>
      <c r="G148" s="102">
        <v>-2.299374009809479E-3</v>
      </c>
      <c r="H148" s="102">
        <v>-3.1973309237505972E-3</v>
      </c>
      <c r="I148" s="102">
        <v>3.6974852421648802E-2</v>
      </c>
      <c r="J148" s="102">
        <v>-2.6006588892818214E-3</v>
      </c>
      <c r="K148" s="102">
        <v>-0.17732131628589395</v>
      </c>
    </row>
    <row r="149" spans="1:11" x14ac:dyDescent="0.3">
      <c r="A149" s="4">
        <v>44523</v>
      </c>
      <c r="B149" s="102">
        <v>4.4907721392301238E-2</v>
      </c>
      <c r="C149" s="102">
        <v>1.6978412816230602E-2</v>
      </c>
      <c r="D149" s="102">
        <v>2.5714255035052879E-2</v>
      </c>
      <c r="E149" s="102">
        <v>-4.5751589405806795E-3</v>
      </c>
      <c r="F149" s="102">
        <v>4.7434778570230873E-3</v>
      </c>
      <c r="G149" s="102">
        <v>-1.7924928666510356E-3</v>
      </c>
      <c r="H149" s="102">
        <v>-1.4019429020218647E-3</v>
      </c>
      <c r="I149" s="102">
        <v>2.3230695474649777E-2</v>
      </c>
      <c r="J149" s="102">
        <v>-1.1471578935909077E-2</v>
      </c>
      <c r="K149" s="102">
        <v>0.18828025477707006</v>
      </c>
    </row>
    <row r="150" spans="1:11" x14ac:dyDescent="0.3">
      <c r="A150" s="4">
        <v>44524</v>
      </c>
      <c r="B150" s="102">
        <v>1.5860846505790307E-2</v>
      </c>
      <c r="C150" s="102">
        <v>2.4679320426555018E-2</v>
      </c>
      <c r="D150" s="102">
        <v>8.3564419297312183E-3</v>
      </c>
      <c r="E150" s="102">
        <v>1.0724366284610657E-2</v>
      </c>
      <c r="F150" s="102">
        <v>4.7210328960806146E-2</v>
      </c>
      <c r="G150" s="102">
        <v>2.3301539284713173E-2</v>
      </c>
      <c r="H150" s="102">
        <v>-3.7119115609505267E-4</v>
      </c>
      <c r="I150" s="102">
        <v>3.1151002853752059E-2</v>
      </c>
      <c r="J150" s="102">
        <v>-8.4399535174844251E-3</v>
      </c>
      <c r="K150" s="102">
        <v>-7.4935677530017147E-2</v>
      </c>
    </row>
    <row r="151" spans="1:11" x14ac:dyDescent="0.3">
      <c r="A151" s="4">
        <v>44525</v>
      </c>
      <c r="B151" s="102">
        <v>7.555093827815259E-4</v>
      </c>
      <c r="C151" s="102">
        <v>1.6765128998939376E-2</v>
      </c>
      <c r="D151" s="102">
        <v>1.3812264761356408E-2</v>
      </c>
      <c r="E151" s="102">
        <v>2.1894754397303495E-3</v>
      </c>
      <c r="F151" s="102">
        <v>1.0655660512177778E-2</v>
      </c>
      <c r="G151" s="102">
        <v>6.9775174559624795E-3</v>
      </c>
      <c r="H151" s="102">
        <v>2.0294416094355032E-3</v>
      </c>
      <c r="I151" s="102">
        <v>1.6897003897186194E-2</v>
      </c>
      <c r="J151" s="102">
        <v>1.1703702718112458E-2</v>
      </c>
      <c r="K151" s="102">
        <v>-4.2183335264804729E-2</v>
      </c>
    </row>
    <row r="152" spans="1:11" x14ac:dyDescent="0.3">
      <c r="A152" s="4">
        <v>44526</v>
      </c>
      <c r="B152" s="102">
        <v>-9.058929050056003E-3</v>
      </c>
      <c r="C152" s="102">
        <v>-4.1802480477592264E-3</v>
      </c>
      <c r="D152" s="102">
        <v>2.9972655514840119E-2</v>
      </c>
      <c r="E152" s="102">
        <v>7.8984680318632382E-3</v>
      </c>
      <c r="F152" s="102">
        <v>-2.0275727268714162E-2</v>
      </c>
      <c r="G152" s="102">
        <v>-2.4729231665267658E-2</v>
      </c>
      <c r="H152" s="102">
        <v>1.3759044278437919E-3</v>
      </c>
      <c r="I152" s="102">
        <v>-2.0141224312008664E-3</v>
      </c>
      <c r="J152" s="102">
        <v>-1.222565480394997E-2</v>
      </c>
      <c r="K152" s="102">
        <v>1.2032667876588021</v>
      </c>
    </row>
    <row r="153" spans="1:11" x14ac:dyDescent="0.3">
      <c r="A153" s="4">
        <v>44529</v>
      </c>
      <c r="B153" s="102">
        <v>6.0944342017322257E-3</v>
      </c>
      <c r="C153" s="102">
        <v>8.8619040855606231E-3</v>
      </c>
      <c r="D153" s="102">
        <v>1.5873088382611623E-2</v>
      </c>
      <c r="E153" s="102">
        <v>8.4201475894349533E-3</v>
      </c>
      <c r="F153" s="102">
        <v>7.0364075822016E-3</v>
      </c>
      <c r="G153" s="102">
        <v>-1.6124262716984524E-2</v>
      </c>
      <c r="H153" s="102">
        <v>5.100339656240095E-3</v>
      </c>
      <c r="I153" s="102">
        <v>-7.0635780432178217E-3</v>
      </c>
      <c r="J153" s="102">
        <v>8.2511842691832104E-3</v>
      </c>
      <c r="K153" s="102">
        <v>-0.50626029654036242</v>
      </c>
    </row>
    <row r="154" spans="1:11" x14ac:dyDescent="0.3">
      <c r="A154" s="4">
        <v>44530</v>
      </c>
      <c r="B154" s="102">
        <v>7.0671773876702232E-3</v>
      </c>
      <c r="C154" s="102">
        <v>-5.1779954306001144E-2</v>
      </c>
      <c r="D154" s="102">
        <v>2.8646006231406326E-2</v>
      </c>
      <c r="E154" s="102">
        <v>2.1081383219144385E-3</v>
      </c>
      <c r="F154" s="102">
        <v>-2.1783789297658871E-2</v>
      </c>
      <c r="G154" s="102">
        <v>2.0409932984734331E-2</v>
      </c>
      <c r="H154" s="102">
        <v>3.3392268013050898E-3</v>
      </c>
      <c r="I154" s="102">
        <v>3.5569656145761062E-3</v>
      </c>
      <c r="J154" s="102">
        <v>2.5079718139242595E-3</v>
      </c>
      <c r="K154" s="102">
        <v>-0.20409298187075964</v>
      </c>
    </row>
    <row r="155" spans="1:11" x14ac:dyDescent="0.3">
      <c r="A155" s="4">
        <v>44531</v>
      </c>
      <c r="B155" s="102">
        <v>2.5563829197567816E-2</v>
      </c>
      <c r="C155" s="102">
        <v>9.5076118597436608E-3</v>
      </c>
      <c r="D155" s="102">
        <v>-2.0253423657126221E-2</v>
      </c>
      <c r="E155" s="102">
        <v>1.0807375973317889E-2</v>
      </c>
      <c r="F155" s="102">
        <v>2.7731076911707651E-2</v>
      </c>
      <c r="G155" s="102">
        <v>1.8645733005266797E-3</v>
      </c>
      <c r="H155" s="102">
        <v>3.8295104839206964E-3</v>
      </c>
      <c r="I155" s="102">
        <v>2.734180844913156E-2</v>
      </c>
      <c r="J155" s="102">
        <v>8.6900386526916045E-3</v>
      </c>
      <c r="K155" s="102">
        <v>-0.25363331470095024</v>
      </c>
    </row>
    <row r="156" spans="1:11" x14ac:dyDescent="0.3">
      <c r="A156" s="4">
        <v>44532</v>
      </c>
      <c r="B156" s="102">
        <v>1.099715661637553E-2</v>
      </c>
      <c r="C156" s="102">
        <v>1.3040339059888051E-2</v>
      </c>
      <c r="D156" s="102">
        <v>5.1681573685678469E-3</v>
      </c>
      <c r="E156" s="102">
        <v>-3.5380707864197225E-2</v>
      </c>
      <c r="F156" s="102">
        <v>-4.4971089995788031E-3</v>
      </c>
      <c r="G156" s="102">
        <v>2.5505452377171594E-2</v>
      </c>
      <c r="H156" s="102">
        <v>-2.6892520404653984E-3</v>
      </c>
      <c r="I156" s="102">
        <v>-1.6264246659891426E-2</v>
      </c>
      <c r="J156" s="102">
        <v>-5.0908787311727943E-3</v>
      </c>
      <c r="K156" s="102">
        <v>0.46639206141172063</v>
      </c>
    </row>
    <row r="157" spans="1:11" x14ac:dyDescent="0.3">
      <c r="A157" s="4">
        <v>44533</v>
      </c>
      <c r="B157" s="102">
        <v>-4.9794451913457244E-2</v>
      </c>
      <c r="C157" s="102">
        <v>7.628151733894562E-3</v>
      </c>
      <c r="D157" s="102">
        <v>2.5706879790942088E-2</v>
      </c>
      <c r="E157" s="102">
        <v>3.0883460270296616E-3</v>
      </c>
      <c r="F157" s="102">
        <v>4.1065300511285743E-4</v>
      </c>
      <c r="G157" s="102">
        <v>4.9498866358001117E-4</v>
      </c>
      <c r="H157" s="102">
        <v>5.2260635402229347E-4</v>
      </c>
      <c r="I157" s="102">
        <v>-1.9539065016187115E-2</v>
      </c>
      <c r="J157" s="102">
        <v>1.2201596719788122E-2</v>
      </c>
      <c r="K157" s="102">
        <v>0.27055669050051073</v>
      </c>
    </row>
    <row r="158" spans="1:11" x14ac:dyDescent="0.3">
      <c r="A158" s="4">
        <v>44536</v>
      </c>
      <c r="B158" s="102">
        <v>-9.4124730790724979E-3</v>
      </c>
      <c r="C158" s="102">
        <v>-3.7852374549871915E-3</v>
      </c>
      <c r="D158" s="102">
        <v>3.2581556355016202E-2</v>
      </c>
      <c r="E158" s="102">
        <v>2.5684170363419849E-2</v>
      </c>
      <c r="F158" s="102">
        <v>8.2096871185760351E-4</v>
      </c>
      <c r="G158" s="102">
        <v>3.1413591046315914E-2</v>
      </c>
      <c r="H158" s="102">
        <v>-1.2985788179305138E-3</v>
      </c>
      <c r="I158" s="102">
        <v>-3.5768539902623444E-3</v>
      </c>
      <c r="J158" s="102">
        <v>-1.1666099114367146E-3</v>
      </c>
      <c r="K158" s="102">
        <v>-0.32871068234348305</v>
      </c>
    </row>
    <row r="159" spans="1:11" x14ac:dyDescent="0.3">
      <c r="A159" s="4">
        <v>44537</v>
      </c>
      <c r="B159" s="102">
        <v>1.361065054000646E-2</v>
      </c>
      <c r="C159" s="102">
        <v>9.0241390933196112E-3</v>
      </c>
      <c r="D159" s="102">
        <v>1.6990077636876471E-2</v>
      </c>
      <c r="E159" s="102">
        <v>-1.073177678405393E-2</v>
      </c>
      <c r="F159" s="102">
        <v>1.2306040989158024E-3</v>
      </c>
      <c r="G159" s="102">
        <v>-3.9609908152924471E-2</v>
      </c>
      <c r="H159" s="102">
        <v>-4.7615934449094085E-3</v>
      </c>
      <c r="I159" s="102">
        <v>-1.1282052413616716E-2</v>
      </c>
      <c r="J159" s="102">
        <v>4.4120477516950253E-3</v>
      </c>
      <c r="K159" s="102">
        <v>7.2904191616766464E-2</v>
      </c>
    </row>
    <row r="160" spans="1:11" x14ac:dyDescent="0.3">
      <c r="A160" s="4">
        <v>44538</v>
      </c>
      <c r="B160" s="102">
        <v>-5.8270912128217519E-3</v>
      </c>
      <c r="C160" s="102">
        <v>2.941857869174928E-2</v>
      </c>
      <c r="D160" s="102">
        <v>-1.1933026690708034E-2</v>
      </c>
      <c r="E160" s="102">
        <v>2.0068466779291614E-2</v>
      </c>
      <c r="F160" s="102">
        <v>-1.024173233093786E-2</v>
      </c>
      <c r="G160" s="102">
        <v>4.6154469977336667E-2</v>
      </c>
      <c r="H160" s="102">
        <v>4.4887725944013125E-4</v>
      </c>
      <c r="I160" s="102">
        <v>-1.3485449562896866E-2</v>
      </c>
      <c r="J160" s="102">
        <v>1.3178420418869937E-2</v>
      </c>
      <c r="K160" s="102">
        <v>0.45569973489605137</v>
      </c>
    </row>
    <row r="161" spans="1:11" x14ac:dyDescent="0.3">
      <c r="A161" s="4">
        <v>44539</v>
      </c>
      <c r="B161" s="102">
        <v>3.4403599848446438E-2</v>
      </c>
      <c r="C161" s="102">
        <v>2.7663502030894873E-2</v>
      </c>
      <c r="D161" s="102">
        <v>1.9323675053319781E-2</v>
      </c>
      <c r="E161" s="102">
        <v>-2.541123866726191E-3</v>
      </c>
      <c r="F161" s="102">
        <v>-7.450290066717262E-3</v>
      </c>
      <c r="G161" s="102">
        <v>-1.1258312671725116E-2</v>
      </c>
      <c r="H161" s="102">
        <v>-5.252790544977412E-4</v>
      </c>
      <c r="I161" s="102">
        <v>2.3659192660866728E-2</v>
      </c>
      <c r="J161" s="102">
        <v>-1.1221445862235519E-2</v>
      </c>
      <c r="K161" s="102">
        <v>-0.27096712355027319</v>
      </c>
    </row>
    <row r="162" spans="1:11" x14ac:dyDescent="0.3">
      <c r="A162" s="4">
        <v>44540</v>
      </c>
      <c r="B162" s="102">
        <v>2.3651156496060578E-2</v>
      </c>
      <c r="C162" s="102">
        <v>-1.2903301718124973E-2</v>
      </c>
      <c r="D162" s="102">
        <v>1.6587470111744794E-2</v>
      </c>
      <c r="E162" s="102">
        <v>0</v>
      </c>
      <c r="F162" s="102">
        <v>-1.042538294232366E-2</v>
      </c>
      <c r="G162" s="102">
        <v>1.1949795138201335E-2</v>
      </c>
      <c r="H162" s="102">
        <v>5.4526343450269988E-3</v>
      </c>
      <c r="I162" s="102">
        <v>-1.0785780888736923E-2</v>
      </c>
      <c r="J162" s="102">
        <v>7.6088352923786061E-3</v>
      </c>
      <c r="K162" s="102">
        <v>0.27793846962924007</v>
      </c>
    </row>
    <row r="163" spans="1:11" x14ac:dyDescent="0.3">
      <c r="A163" s="4">
        <v>44543</v>
      </c>
      <c r="B163" s="102">
        <v>0</v>
      </c>
      <c r="C163" s="102">
        <v>-9.691260099042592E-3</v>
      </c>
      <c r="D163" s="102">
        <v>-9.3238945277640452E-3</v>
      </c>
      <c r="E163" s="102">
        <v>-1.4793477455388177E-3</v>
      </c>
      <c r="F163" s="102">
        <v>-2.4441656196986513E-2</v>
      </c>
      <c r="G163" s="102">
        <v>-6.7989027632877957E-3</v>
      </c>
      <c r="H163" s="102">
        <v>3.7533122799374907E-3</v>
      </c>
      <c r="I163" s="102">
        <v>6.2304434278695042E-3</v>
      </c>
      <c r="J163" s="102">
        <v>7.8074607667062337E-3</v>
      </c>
      <c r="K163" s="102">
        <v>0.87510288065843622</v>
      </c>
    </row>
    <row r="164" spans="1:11" x14ac:dyDescent="0.3">
      <c r="A164" s="4">
        <v>44544</v>
      </c>
      <c r="B164" s="102">
        <v>-2.3104703536913945E-2</v>
      </c>
      <c r="C164" s="102">
        <v>2.0254908576386111E-2</v>
      </c>
      <c r="D164" s="102">
        <v>-2.3529358342154225E-2</v>
      </c>
      <c r="E164" s="102">
        <v>1.8518734340954074E-3</v>
      </c>
      <c r="F164" s="102">
        <v>1.2527008944285992E-2</v>
      </c>
      <c r="G164" s="102">
        <v>8.006284931869925E-4</v>
      </c>
      <c r="H164" s="102">
        <v>2.1951078387410288E-3</v>
      </c>
      <c r="I164" s="102">
        <v>-6.1918653610246559E-3</v>
      </c>
      <c r="J164" s="102">
        <v>1.308099134442655E-2</v>
      </c>
      <c r="K164" s="102">
        <v>-0.54734993964665857</v>
      </c>
    </row>
    <row r="165" spans="1:11" x14ac:dyDescent="0.3">
      <c r="A165" s="4">
        <v>44545</v>
      </c>
      <c r="B165" s="102">
        <v>3.69549559730525E-3</v>
      </c>
      <c r="C165" s="102">
        <v>-6.4688313622475145E-3</v>
      </c>
      <c r="D165" s="102">
        <v>-1.4472336128268271E-3</v>
      </c>
      <c r="E165" s="102">
        <v>3.7256076224401823E-2</v>
      </c>
      <c r="F165" s="102">
        <v>1.0238879273651739E-2</v>
      </c>
      <c r="G165" s="102">
        <v>5.760007999999971E-3</v>
      </c>
      <c r="H165" s="102">
        <v>1.8366765176036021E-3</v>
      </c>
      <c r="I165" s="102">
        <v>1.1422586001045065E-2</v>
      </c>
      <c r="J165" s="102">
        <v>1.0781009067552732E-2</v>
      </c>
      <c r="K165" s="102">
        <v>7.0181818181818179E-2</v>
      </c>
    </row>
    <row r="166" spans="1:11" x14ac:dyDescent="0.3">
      <c r="A166" s="4">
        <v>44546</v>
      </c>
      <c r="B166" s="102">
        <v>1.497284807461205E-2</v>
      </c>
      <c r="C166" s="102">
        <v>8.9806450447726238E-3</v>
      </c>
      <c r="D166" s="102">
        <v>-9.6617173385151502E-3</v>
      </c>
      <c r="E166" s="102">
        <v>-2.9423323574303099E-2</v>
      </c>
      <c r="F166" s="102">
        <v>-1.1824360683830746E-2</v>
      </c>
      <c r="G166" s="102">
        <v>6.1684735430442859E-2</v>
      </c>
      <c r="H166" s="102">
        <v>-5.1865725399802178E-4</v>
      </c>
      <c r="I166" s="102">
        <v>-8.7268843194394236E-3</v>
      </c>
      <c r="J166" s="102">
        <v>-4.588815053222812E-3</v>
      </c>
      <c r="K166" s="102">
        <v>0.13625552157662249</v>
      </c>
    </row>
    <row r="167" spans="1:11" x14ac:dyDescent="0.3">
      <c r="A167" s="4">
        <v>44547</v>
      </c>
      <c r="B167" s="102">
        <v>-2.4182071927063222E-3</v>
      </c>
      <c r="C167" s="102">
        <v>9.3458270131277794E-3</v>
      </c>
      <c r="D167" s="102">
        <v>0</v>
      </c>
      <c r="E167" s="102">
        <v>-4.080586593501392E-4</v>
      </c>
      <c r="F167" s="102">
        <v>-2.1367498048656036E-2</v>
      </c>
      <c r="G167" s="102">
        <v>-3.4950427348173323E-2</v>
      </c>
      <c r="H167" s="102">
        <v>-2.2306627843284733E-3</v>
      </c>
      <c r="I167" s="102">
        <v>2.5894023428926429E-3</v>
      </c>
      <c r="J167" s="102">
        <v>-4.983710122984643E-3</v>
      </c>
      <c r="K167" s="102">
        <v>-0.23066188197767146</v>
      </c>
    </row>
    <row r="168" spans="1:11" x14ac:dyDescent="0.3">
      <c r="A168" s="4">
        <v>44550</v>
      </c>
      <c r="B168" s="102">
        <v>-1.4546827598639755E-3</v>
      </c>
      <c r="C168" s="102">
        <v>-1.4770726681305831E-2</v>
      </c>
      <c r="D168" s="102">
        <v>-1.7073083201023687E-2</v>
      </c>
      <c r="E168" s="102">
        <v>0</v>
      </c>
      <c r="F168" s="102">
        <v>3.14410472519965E-2</v>
      </c>
      <c r="G168" s="102">
        <v>1.5254999907906866E-2</v>
      </c>
      <c r="H168" s="102">
        <v>-1.6794461078384339E-3</v>
      </c>
      <c r="I168" s="102">
        <v>-1.3946299304915463E-2</v>
      </c>
      <c r="J168" s="102">
        <v>-1.8784436052504878E-3</v>
      </c>
      <c r="K168" s="102">
        <v>-0.11194610002591344</v>
      </c>
    </row>
    <row r="169" spans="1:11" x14ac:dyDescent="0.3">
      <c r="A169" s="4">
        <v>44551</v>
      </c>
      <c r="B169" s="102">
        <v>0</v>
      </c>
      <c r="C169" s="102">
        <v>-6.8439139429908652E-3</v>
      </c>
      <c r="D169" s="102">
        <v>-1.9851120998999612E-2</v>
      </c>
      <c r="E169" s="102">
        <v>-2.2490714444814937E-2</v>
      </c>
      <c r="F169" s="102">
        <v>-7.7053375184071432E-2</v>
      </c>
      <c r="G169" s="102">
        <v>3.8233609095023168E-3</v>
      </c>
      <c r="H169" s="102">
        <v>-1.7256848472570522E-3</v>
      </c>
      <c r="I169" s="102">
        <v>-2.5667855550338649E-2</v>
      </c>
      <c r="J169" s="102">
        <v>7.5272981386094624E-3</v>
      </c>
      <c r="K169" s="102">
        <v>0.37948643128100379</v>
      </c>
    </row>
    <row r="170" spans="1:11" x14ac:dyDescent="0.3">
      <c r="A170" s="4">
        <v>44552</v>
      </c>
      <c r="B170" s="102">
        <v>5.0984418061706957E-3</v>
      </c>
      <c r="C170" s="102">
        <v>-2.4853137032140597E-2</v>
      </c>
      <c r="D170" s="102">
        <v>-1.5189941057027492E-2</v>
      </c>
      <c r="E170" s="102">
        <v>-8.5185128690901408E-3</v>
      </c>
      <c r="F170" s="102">
        <v>-1.6972449714780818E-2</v>
      </c>
      <c r="G170" s="102">
        <v>-5.8654658936795013E-3</v>
      </c>
      <c r="H170" s="102">
        <v>-2.8956094732454896E-3</v>
      </c>
      <c r="I170" s="102">
        <v>-1.0215132295555368E-2</v>
      </c>
      <c r="J170" s="102">
        <v>-1.3696947766134325E-2</v>
      </c>
      <c r="K170" s="102">
        <v>-0.20137493389740879</v>
      </c>
    </row>
    <row r="171" spans="1:11" x14ac:dyDescent="0.3">
      <c r="A171" s="4">
        <v>44553</v>
      </c>
      <c r="B171" s="102">
        <v>2.2222241701436957E-2</v>
      </c>
      <c r="C171" s="102">
        <v>-2.7803530434901438E-2</v>
      </c>
      <c r="D171" s="102">
        <v>-2.8277675867782785E-2</v>
      </c>
      <c r="E171" s="102">
        <v>-8.7601110214668952E-3</v>
      </c>
      <c r="F171" s="102">
        <v>-2.2865144478744028E-2</v>
      </c>
      <c r="G171" s="102">
        <v>-2.2986857860358428E-4</v>
      </c>
      <c r="H171" s="102">
        <v>3.565509420795488E-3</v>
      </c>
      <c r="I171" s="102">
        <v>-2.9331758285597479E-2</v>
      </c>
      <c r="J171" s="102">
        <v>7.8274173568089848E-3</v>
      </c>
      <c r="K171" s="102">
        <v>9.098132697655939E-2</v>
      </c>
    </row>
    <row r="172" spans="1:11" x14ac:dyDescent="0.3">
      <c r="A172" s="4">
        <v>44554</v>
      </c>
      <c r="B172" s="102">
        <v>-2.3865844643936925E-2</v>
      </c>
      <c r="C172" s="102">
        <v>4.7664457588734105E-3</v>
      </c>
      <c r="D172" s="102">
        <v>-3.7037116578663272E-2</v>
      </c>
      <c r="E172" s="102">
        <v>8.3701573386288919E-3</v>
      </c>
      <c r="F172" s="102">
        <v>2.9608503503507293E-2</v>
      </c>
      <c r="G172" s="102">
        <v>3.9739392692574239E-2</v>
      </c>
      <c r="H172" s="102">
        <v>-1.4559045621963481E-3</v>
      </c>
      <c r="I172" s="102">
        <v>3.3016055012999451E-2</v>
      </c>
      <c r="J172" s="102">
        <v>4.6346956177191964E-3</v>
      </c>
      <c r="K172" s="102">
        <v>-0.41090070405438212</v>
      </c>
    </row>
    <row r="173" spans="1:11" x14ac:dyDescent="0.3">
      <c r="A173" s="4">
        <v>44557</v>
      </c>
      <c r="B173" s="102">
        <v>-4.840896107170693E-4</v>
      </c>
      <c r="C173" s="102">
        <v>1.1859574430740724E-2</v>
      </c>
      <c r="D173" s="102">
        <v>-1.3736234633052687E-2</v>
      </c>
      <c r="E173" s="102">
        <v>-3.6573535431529795E-2</v>
      </c>
      <c r="F173" s="102">
        <v>-3.5250530712831185E-2</v>
      </c>
      <c r="G173" s="102">
        <v>2.0639760635123654E-3</v>
      </c>
      <c r="H173" s="102">
        <v>-4.4973976751360275E-4</v>
      </c>
      <c r="I173" s="102">
        <v>1.4626295031914587E-2</v>
      </c>
      <c r="J173" s="102">
        <v>-5.8925570497598079E-3</v>
      </c>
      <c r="K173" s="102">
        <v>4.8423655470842777E-2</v>
      </c>
    </row>
    <row r="174" spans="1:11" x14ac:dyDescent="0.3">
      <c r="A174" s="4">
        <v>44558</v>
      </c>
      <c r="B174" s="102">
        <v>2.6883011643414736E-2</v>
      </c>
      <c r="C174" s="102">
        <v>-3.961549913546563E-2</v>
      </c>
      <c r="D174" s="102">
        <v>1.9498508822833469E-2</v>
      </c>
      <c r="E174" s="102">
        <v>3.3107328673655886E-2</v>
      </c>
      <c r="F174" s="102">
        <v>-9.6153737379422732E-3</v>
      </c>
      <c r="G174" s="102">
        <v>4.2702606982812127E-2</v>
      </c>
      <c r="H174" s="102">
        <v>-4.1728503470722352E-4</v>
      </c>
      <c r="I174" s="102">
        <v>5.3390091106266246E-3</v>
      </c>
      <c r="J174" s="102">
        <v>6.3049694631301398E-4</v>
      </c>
      <c r="K174" s="102">
        <v>0.58097484276729561</v>
      </c>
    </row>
    <row r="175" spans="1:11" x14ac:dyDescent="0.3">
      <c r="A175" s="4">
        <v>44559</v>
      </c>
      <c r="B175" s="102">
        <v>2.4999915022253533E-2</v>
      </c>
      <c r="C175" s="102">
        <v>1.5865179588293896E-2</v>
      </c>
      <c r="D175" s="102">
        <v>-3.5519108259946294E-2</v>
      </c>
      <c r="E175" s="102">
        <v>5.334043704554983E-3</v>
      </c>
      <c r="F175" s="102">
        <v>-3.0194191674898226E-2</v>
      </c>
      <c r="G175" s="102">
        <v>5.1853718009585627E-3</v>
      </c>
      <c r="H175" s="102">
        <v>-4.3415760356619783E-3</v>
      </c>
      <c r="I175" s="102">
        <v>-5.8417699856317838E-3</v>
      </c>
      <c r="J175" s="102">
        <v>-8.1924500561567585E-3</v>
      </c>
      <c r="K175" s="102">
        <v>0.68846345101939332</v>
      </c>
    </row>
    <row r="176" spans="1:11" x14ac:dyDescent="0.3">
      <c r="A176" s="4">
        <v>44560</v>
      </c>
      <c r="B176" s="102">
        <v>-1.5646618704321928E-2</v>
      </c>
      <c r="C176" s="102">
        <v>7.9289565569590492E-3</v>
      </c>
      <c r="D176" s="102">
        <v>5.6659406251967038E-3</v>
      </c>
      <c r="E176" s="102">
        <v>-2.8381314844802073E-2</v>
      </c>
      <c r="F176" s="102">
        <v>2.3626064145429584E-2</v>
      </c>
      <c r="G176" s="102">
        <v>8.7381424713759651E-3</v>
      </c>
      <c r="H176" s="102">
        <v>-1.1557532448592297E-3</v>
      </c>
      <c r="I176" s="102">
        <v>-8.0128194603970564E-3</v>
      </c>
      <c r="J176" s="102">
        <v>2.033251726226557E-3</v>
      </c>
      <c r="K176" s="102">
        <v>-0.15513179207774996</v>
      </c>
    </row>
    <row r="177" spans="1:11" x14ac:dyDescent="0.3">
      <c r="A177" s="4">
        <v>44561</v>
      </c>
      <c r="B177" s="102">
        <v>-4.9789542047334247E-2</v>
      </c>
      <c r="C177" s="102">
        <v>9.5350678614872907E-3</v>
      </c>
      <c r="D177" s="102">
        <v>1.9942882313612253E-2</v>
      </c>
      <c r="E177" s="102">
        <v>-2.2232784179705752E-2</v>
      </c>
      <c r="F177" s="102">
        <v>1.0268907512639829E-2</v>
      </c>
      <c r="G177" s="102">
        <v>-3.934596113358315E-2</v>
      </c>
      <c r="H177" s="102">
        <v>-4.8911714355587641E-3</v>
      </c>
      <c r="I177" s="102">
        <v>2.154037306966318E-3</v>
      </c>
      <c r="J177" s="102">
        <v>-2.5237687746423355E-2</v>
      </c>
      <c r="K177" s="102">
        <v>0.36470588235294116</v>
      </c>
    </row>
    <row r="178" spans="1:11" x14ac:dyDescent="0.3">
      <c r="A178" s="4">
        <v>44564</v>
      </c>
      <c r="B178" s="102">
        <v>8.3641595588183522E-3</v>
      </c>
      <c r="C178" s="102">
        <v>-2.597293440295021E-3</v>
      </c>
      <c r="D178" s="102">
        <v>-1.1173268904216499E-2</v>
      </c>
      <c r="E178" s="102">
        <v>1.733087296051513E-2</v>
      </c>
      <c r="F178" s="102">
        <v>-9.6799600794231352E-4</v>
      </c>
      <c r="G178" s="102">
        <v>-3.3569998900738772E-2</v>
      </c>
      <c r="H178" s="102">
        <v>4.8051705101906302E-4</v>
      </c>
      <c r="I178" s="102">
        <v>-6.9855602981305472E-3</v>
      </c>
      <c r="J178" s="102">
        <v>-2.4721509127950641E-3</v>
      </c>
      <c r="K178" s="102">
        <v>-5.1915708812260535E-2</v>
      </c>
    </row>
    <row r="179" spans="1:11" x14ac:dyDescent="0.3">
      <c r="A179" s="4">
        <v>44565</v>
      </c>
      <c r="B179" s="102">
        <v>1.6345411991089107E-2</v>
      </c>
      <c r="C179" s="102">
        <v>2.2016933491507438E-2</v>
      </c>
      <c r="D179" s="102">
        <v>-3.6723161439915171E-2</v>
      </c>
      <c r="E179" s="102">
        <v>-4.4006776291935518E-3</v>
      </c>
      <c r="F179" s="102">
        <v>9.6898155482749628E-3</v>
      </c>
      <c r="G179" s="102">
        <v>-0.10109789974702861</v>
      </c>
      <c r="H179" s="102">
        <v>-4.9935106359576637E-3</v>
      </c>
      <c r="I179" s="102">
        <v>-9.1991186000490322E-3</v>
      </c>
      <c r="J179" s="102">
        <v>2.8955318937321114E-2</v>
      </c>
      <c r="K179" s="102">
        <v>2.9673334680406818</v>
      </c>
    </row>
    <row r="180" spans="1:11" x14ac:dyDescent="0.3">
      <c r="A180" s="4">
        <v>44566</v>
      </c>
      <c r="B180" s="102">
        <v>9.36134894536279E-3</v>
      </c>
      <c r="C180" s="102">
        <v>-1.1581947194636857E-3</v>
      </c>
      <c r="D180" s="102">
        <v>-1.1730000785589665E-2</v>
      </c>
      <c r="E180" s="102">
        <v>7.7021585243317991E-3</v>
      </c>
      <c r="F180" s="102">
        <v>5.2783709724245533E-3</v>
      </c>
      <c r="G180" s="102">
        <v>-3.455747648737946E-2</v>
      </c>
      <c r="H180" s="102">
        <v>3.6331210942106627E-3</v>
      </c>
      <c r="I180" s="102">
        <v>4.9153351013619048E-3</v>
      </c>
      <c r="J180" s="102">
        <v>1.6098380933868901E-2</v>
      </c>
      <c r="K180" s="102">
        <v>-0.84902296996757376</v>
      </c>
    </row>
    <row r="181" spans="1:11" x14ac:dyDescent="0.3">
      <c r="A181" s="4">
        <v>44567</v>
      </c>
      <c r="B181" s="102">
        <v>6.89667382163669E-3</v>
      </c>
      <c r="C181" s="102">
        <v>-1.739332113731748E-2</v>
      </c>
      <c r="D181" s="102">
        <v>2.6706132508290015E-2</v>
      </c>
      <c r="E181" s="102">
        <v>-1.0118476621514598E-2</v>
      </c>
      <c r="F181" s="102">
        <v>4.7731704131006069E-3</v>
      </c>
      <c r="G181" s="102">
        <v>2.1286670432987796E-2</v>
      </c>
      <c r="H181" s="102">
        <v>1.1392256349631721E-2</v>
      </c>
      <c r="I181" s="102">
        <v>5.4348749006638327E-3</v>
      </c>
      <c r="J181" s="102">
        <v>3.6801373365576547E-2</v>
      </c>
      <c r="K181" s="102">
        <v>0.28325649387158441</v>
      </c>
    </row>
    <row r="182" spans="1:11" x14ac:dyDescent="0.3">
      <c r="A182" s="4">
        <v>44568</v>
      </c>
      <c r="B182" s="102">
        <v>-1.2990095062616197E-2</v>
      </c>
      <c r="C182" s="102">
        <v>6.8444831627399701E-3</v>
      </c>
      <c r="D182" s="102">
        <v>-3.1791857229518695E-2</v>
      </c>
      <c r="E182" s="102">
        <v>-4.3257001731800415E-2</v>
      </c>
      <c r="F182" s="102">
        <v>-1.4250926792451534E-3</v>
      </c>
      <c r="G182" s="102">
        <v>1.1626432214207214E-2</v>
      </c>
      <c r="H182" s="102">
        <v>5.9967838072316672E-3</v>
      </c>
      <c r="I182" s="102">
        <v>-3.2432537199373157E-3</v>
      </c>
      <c r="J182" s="102">
        <v>9.0240365480074216E-3</v>
      </c>
      <c r="K182" s="102">
        <v>0.17954784437434279</v>
      </c>
    </row>
    <row r="183" spans="1:11" x14ac:dyDescent="0.3">
      <c r="A183" s="4">
        <v>44571</v>
      </c>
      <c r="B183" s="102">
        <v>-1.4836196549304022E-2</v>
      </c>
      <c r="C183" s="102">
        <v>-7.0323393498960768E-3</v>
      </c>
      <c r="D183" s="102">
        <v>5.97019395493157E-3</v>
      </c>
      <c r="E183" s="102">
        <v>-1.4948667365194292E-2</v>
      </c>
      <c r="F183" s="102">
        <v>2.3311133294613057E-2</v>
      </c>
      <c r="G183" s="102">
        <v>7.146441855342861E-2</v>
      </c>
      <c r="H183" s="102">
        <v>-3.9692133379941205E-5</v>
      </c>
      <c r="I183" s="102">
        <v>-5.4229740293817935E-3</v>
      </c>
      <c r="J183" s="102">
        <v>-1.0135693900515249E-2</v>
      </c>
      <c r="K183" s="102">
        <v>-0.27969690216180076</v>
      </c>
    </row>
    <row r="184" spans="1:11" x14ac:dyDescent="0.3">
      <c r="A184" s="4">
        <v>44572</v>
      </c>
      <c r="B184" s="102">
        <v>4.2992569931654977E-2</v>
      </c>
      <c r="C184" s="102">
        <v>1.3219989939935343E-2</v>
      </c>
      <c r="D184" s="102">
        <v>-3.2640894781374857E-2</v>
      </c>
      <c r="E184" s="102">
        <v>2.8488943966807453E-2</v>
      </c>
      <c r="F184" s="102">
        <v>-5.1138672242233649E-3</v>
      </c>
      <c r="G184" s="102">
        <v>7.691707861539368E-2</v>
      </c>
      <c r="H184" s="102">
        <v>2.1182006480899461E-3</v>
      </c>
      <c r="I184" s="102">
        <v>-7.6335937560223178E-3</v>
      </c>
      <c r="J184" s="102">
        <v>2.4075882849748412E-4</v>
      </c>
      <c r="K184" s="102">
        <v>-0.13479785478547854</v>
      </c>
    </row>
    <row r="185" spans="1:11" x14ac:dyDescent="0.3">
      <c r="A185" s="4">
        <v>44573</v>
      </c>
      <c r="B185" s="102">
        <v>1.863144187656731E-3</v>
      </c>
      <c r="C185" s="102">
        <v>1.1650343904630446E-3</v>
      </c>
      <c r="D185" s="102">
        <v>-7.9853060028597048E-3</v>
      </c>
      <c r="E185" s="102">
        <v>-4.5356207634602597E-5</v>
      </c>
      <c r="F185" s="102">
        <v>9.3456914907656483E-3</v>
      </c>
      <c r="G185" s="102">
        <v>-6.8815427696875611E-3</v>
      </c>
      <c r="H185" s="102">
        <v>9.650389436425315E-4</v>
      </c>
      <c r="I185" s="102">
        <v>4.3955998182069727E-3</v>
      </c>
      <c r="J185" s="102">
        <v>-1.5054904192326581E-2</v>
      </c>
      <c r="K185" s="102">
        <v>0.40135892239837884</v>
      </c>
    </row>
    <row r="186" spans="1:11" x14ac:dyDescent="0.3">
      <c r="A186" s="4">
        <v>44574</v>
      </c>
      <c r="B186" s="102">
        <v>1.6503834660720702E-2</v>
      </c>
      <c r="C186" s="102">
        <v>8.3779076857394899E-3</v>
      </c>
      <c r="D186" s="102">
        <v>-1.857584466964015E-2</v>
      </c>
      <c r="E186" s="102">
        <v>5.79383954068401E-3</v>
      </c>
      <c r="F186" s="102">
        <v>1.5740796283798188E-2</v>
      </c>
      <c r="G186" s="102">
        <v>-8.8293238294971405E-2</v>
      </c>
      <c r="H186" s="102">
        <v>5.4069221554300809E-3</v>
      </c>
      <c r="I186" s="102">
        <v>8.205743818917496E-3</v>
      </c>
      <c r="J186" s="102">
        <v>1.91978601765408E-2</v>
      </c>
      <c r="K186" s="102">
        <v>0.1083701939435182</v>
      </c>
    </row>
    <row r="187" spans="1:11" x14ac:dyDescent="0.3">
      <c r="A187" s="4">
        <v>44575</v>
      </c>
      <c r="B187" s="102">
        <v>-5.4880780523704651E-3</v>
      </c>
      <c r="C187" s="102">
        <v>1.2231691813275859E-2</v>
      </c>
      <c r="D187" s="102">
        <v>-1.8927437814475992E-2</v>
      </c>
      <c r="E187" s="102">
        <v>-1.2825781044698231E-2</v>
      </c>
      <c r="F187" s="102">
        <v>-1.6864146757169709E-2</v>
      </c>
      <c r="G187" s="102">
        <v>4.4201783187291836E-2</v>
      </c>
      <c r="H187" s="102">
        <v>-3.1594389580650193E-3</v>
      </c>
      <c r="I187" s="102">
        <v>4.3407440438521421E-3</v>
      </c>
      <c r="J187" s="102">
        <v>1.8956363982396484E-2</v>
      </c>
      <c r="K187" s="102">
        <v>-0.25679201841903299</v>
      </c>
    </row>
    <row r="188" spans="1:11" x14ac:dyDescent="0.3">
      <c r="A188" s="4">
        <v>44578</v>
      </c>
      <c r="B188" s="102">
        <v>3.6790010261460664E-2</v>
      </c>
      <c r="C188" s="102">
        <v>7.0679079814465013E-3</v>
      </c>
      <c r="D188" s="102">
        <v>3.858519449837966E-2</v>
      </c>
      <c r="E188" s="102">
        <v>2.0970096272655826E-2</v>
      </c>
      <c r="F188" s="102">
        <v>4.1723931973221603E-3</v>
      </c>
      <c r="G188" s="102">
        <v>-9.0024782369663697E-3</v>
      </c>
      <c r="H188" s="102">
        <v>4.3719063737227256E-3</v>
      </c>
      <c r="I188" s="102">
        <v>-4.8622797761019299E-3</v>
      </c>
      <c r="J188" s="102">
        <v>-2.3548761468349696E-3</v>
      </c>
      <c r="K188" s="102">
        <v>0.54409334985543167</v>
      </c>
    </row>
    <row r="189" spans="1:11" x14ac:dyDescent="0.3">
      <c r="A189" s="4">
        <v>44579</v>
      </c>
      <c r="B189" s="102">
        <v>-7.3186856907900043E-3</v>
      </c>
      <c r="C189" s="102">
        <v>-8.150299373086865E-3</v>
      </c>
      <c r="D189" s="102">
        <v>6.1918448086292184E-3</v>
      </c>
      <c r="E189" s="102">
        <v>-2.6210021437184036E-2</v>
      </c>
      <c r="F189" s="102">
        <v>-2.3083547718636102E-3</v>
      </c>
      <c r="G189" s="102">
        <v>-2.0062630793129737E-2</v>
      </c>
      <c r="H189" s="102">
        <v>1.3008594964529655E-3</v>
      </c>
      <c r="I189" s="102">
        <v>-5.9718539660515262E-3</v>
      </c>
      <c r="J189" s="102">
        <v>7.4353262454947651E-3</v>
      </c>
      <c r="K189" s="102">
        <v>-0.47649301143583228</v>
      </c>
    </row>
    <row r="190" spans="1:11" x14ac:dyDescent="0.3">
      <c r="A190" s="4">
        <v>44580</v>
      </c>
      <c r="B190" s="102">
        <v>-3.5969571996986159E-2</v>
      </c>
      <c r="C190" s="102">
        <v>-1.2097676765244566E-2</v>
      </c>
      <c r="D190" s="102">
        <v>-3.3846196538635819E-2</v>
      </c>
      <c r="E190" s="102">
        <v>1.8845399116555868E-2</v>
      </c>
      <c r="F190" s="102">
        <v>4.6274819884362705E-3</v>
      </c>
      <c r="G190" s="102">
        <v>-3.0177491124260325E-2</v>
      </c>
      <c r="H190" s="102">
        <v>2.0915200639591825E-3</v>
      </c>
      <c r="I190" s="102">
        <v>2.3484447202726726E-2</v>
      </c>
      <c r="J190" s="102">
        <v>6.6776680322195928E-3</v>
      </c>
      <c r="K190" s="102">
        <v>0.15968318855390903</v>
      </c>
    </row>
    <row r="191" spans="1:11" x14ac:dyDescent="0.3">
      <c r="A191" s="4">
        <v>44581</v>
      </c>
      <c r="B191" s="102">
        <v>-2.8736984850084888E-2</v>
      </c>
      <c r="C191" s="102">
        <v>9.2417763226476527E-4</v>
      </c>
      <c r="D191" s="102">
        <v>-9.5539785266060048E-3</v>
      </c>
      <c r="E191" s="102">
        <v>5.8956564453934608E-3</v>
      </c>
      <c r="F191" s="102">
        <v>5.9880261060163897E-3</v>
      </c>
      <c r="G191" s="102">
        <v>1.8669903957618715E-2</v>
      </c>
      <c r="H191" s="102">
        <v>-1.0685092515093097E-3</v>
      </c>
      <c r="I191" s="102">
        <v>1.3340537795930751E-2</v>
      </c>
      <c r="J191" s="102">
        <v>-6.7497037581841259E-3</v>
      </c>
      <c r="K191" s="102">
        <v>-0.30425203789380922</v>
      </c>
    </row>
    <row r="192" spans="1:11" x14ac:dyDescent="0.3">
      <c r="A192" s="4">
        <v>44582</v>
      </c>
      <c r="B192" s="102">
        <v>1.9565628558298583E-2</v>
      </c>
      <c r="C192" s="102">
        <v>7.3868954330293347E-3</v>
      </c>
      <c r="D192" s="102">
        <v>-9.646459731878821E-3</v>
      </c>
      <c r="E192" s="102">
        <v>1.1632604070344159E-2</v>
      </c>
      <c r="F192" s="102">
        <v>-6.4102311053998691E-3</v>
      </c>
      <c r="G192" s="102">
        <v>1.0301876614743069E-2</v>
      </c>
      <c r="H192" s="102">
        <v>1.6116092917119274E-3</v>
      </c>
      <c r="I192" s="102">
        <v>5.2653169472641778E-4</v>
      </c>
      <c r="J192" s="102">
        <v>-8.6701778877161777E-3</v>
      </c>
      <c r="K192" s="102">
        <v>9.0880303989867003E-2</v>
      </c>
    </row>
    <row r="193" spans="1:11" x14ac:dyDescent="0.3">
      <c r="A193" s="4">
        <v>44585</v>
      </c>
      <c r="B193" s="102">
        <v>1.8722765224231134E-3</v>
      </c>
      <c r="C193" s="102">
        <v>1.0999059527679404E-2</v>
      </c>
      <c r="D193" s="102">
        <v>-4.2207728827323335E-2</v>
      </c>
      <c r="E193" s="102">
        <v>1.4417640814981781E-2</v>
      </c>
      <c r="F193" s="102">
        <v>1.3363976320125774E-2</v>
      </c>
      <c r="G193" s="102">
        <v>-1.2172958466951916E-2</v>
      </c>
      <c r="H193" s="102">
        <v>1.2352403022957259E-3</v>
      </c>
      <c r="I193" s="102">
        <v>2.1052880176356519E-3</v>
      </c>
      <c r="J193" s="102">
        <v>9.1005439418015838E-3</v>
      </c>
      <c r="K193" s="102">
        <v>-0.11930333817126269</v>
      </c>
    </row>
    <row r="194" spans="1:11" x14ac:dyDescent="0.3">
      <c r="A194" s="4">
        <v>44586</v>
      </c>
      <c r="B194" s="102">
        <v>-7.2412439632686034E-3</v>
      </c>
      <c r="C194" s="102">
        <v>-6.1196974050124415E-3</v>
      </c>
      <c r="D194" s="102">
        <v>2.3728750227168069E-2</v>
      </c>
      <c r="E194" s="102">
        <v>-6.6705102370678993E-3</v>
      </c>
      <c r="F194" s="102">
        <v>-2.1828044020619296E-2</v>
      </c>
      <c r="G194" s="102">
        <v>4.0249651594385469E-2</v>
      </c>
      <c r="H194" s="102">
        <v>2.979407247283631E-3</v>
      </c>
      <c r="I194" s="102">
        <v>-1.6806759313499068E-2</v>
      </c>
      <c r="J194" s="102">
        <v>-2.5767112099840512E-3</v>
      </c>
      <c r="K194" s="102">
        <v>0.16661173368490442</v>
      </c>
    </row>
    <row r="195" spans="1:11" x14ac:dyDescent="0.3">
      <c r="A195" s="4">
        <v>44587</v>
      </c>
      <c r="B195" s="102">
        <v>1.1764547735705932E-2</v>
      </c>
      <c r="C195" s="102">
        <v>2.8962404537832293E-2</v>
      </c>
      <c r="D195" s="102">
        <v>1.3245140788311007E-2</v>
      </c>
      <c r="E195" s="102">
        <v>5.4863963145718106E-3</v>
      </c>
      <c r="F195" s="102">
        <v>3.7191595461452593E-3</v>
      </c>
      <c r="G195" s="102">
        <v>3.4076865384615365E-2</v>
      </c>
      <c r="H195" s="102">
        <v>-1.0067280628992187E-3</v>
      </c>
      <c r="I195" s="102">
        <v>-3.0982971233158935E-2</v>
      </c>
      <c r="J195" s="102">
        <v>-7.2803024031417958E-3</v>
      </c>
      <c r="K195" s="102">
        <v>0.31854781748834582</v>
      </c>
    </row>
    <row r="196" spans="1:11" x14ac:dyDescent="0.3">
      <c r="A196" s="4">
        <v>44588</v>
      </c>
      <c r="B196" s="102">
        <v>3.023409031246295E-3</v>
      </c>
      <c r="C196" s="102">
        <v>4.875881570005884E-3</v>
      </c>
      <c r="D196" s="102">
        <v>2.2875754922180993E-2</v>
      </c>
      <c r="E196" s="102">
        <v>-2.9333389709058712E-2</v>
      </c>
      <c r="F196" s="102">
        <v>6.0213085068444279E-3</v>
      </c>
      <c r="G196" s="102">
        <v>4.7609539217969184E-3</v>
      </c>
      <c r="H196" s="102">
        <v>6.4935525764855278E-4</v>
      </c>
      <c r="I196" s="102">
        <v>-4.9612866815305807E-3</v>
      </c>
      <c r="J196" s="102">
        <v>2.0107985414085376E-3</v>
      </c>
      <c r="K196" s="102">
        <v>-0.22284122562674094</v>
      </c>
    </row>
    <row r="197" spans="1:11" x14ac:dyDescent="0.3">
      <c r="A197" s="4">
        <v>44589</v>
      </c>
      <c r="B197" s="102">
        <v>-8.5788161029918906E-3</v>
      </c>
      <c r="C197" s="102">
        <v>2.1173421896992659E-2</v>
      </c>
      <c r="D197" s="102">
        <v>-9.5848220574487504E-3</v>
      </c>
      <c r="E197" s="102">
        <v>1.4480457652726878E-2</v>
      </c>
      <c r="F197" s="102">
        <v>-3.683200962472895E-3</v>
      </c>
      <c r="G197" s="102">
        <v>-1.8515953662037163E-4</v>
      </c>
      <c r="H197" s="102">
        <v>1.1312016624054617E-3</v>
      </c>
      <c r="I197" s="102">
        <v>1.828252231459607E-2</v>
      </c>
      <c r="J197" s="102">
        <v>4.7223525864450343E-4</v>
      </c>
      <c r="K197" s="102">
        <v>0.26716294458229944</v>
      </c>
    </row>
    <row r="198" spans="1:11" x14ac:dyDescent="0.3">
      <c r="A198" s="4">
        <v>44592</v>
      </c>
      <c r="B198" s="102">
        <v>9.3544509817726702E-4</v>
      </c>
      <c r="C198" s="102">
        <v>-6.4794943640343536E-3</v>
      </c>
      <c r="D198" s="102">
        <v>9.6775799391118737E-3</v>
      </c>
      <c r="E198" s="102">
        <v>4.4948638614487842E-2</v>
      </c>
      <c r="F198" s="102">
        <v>1.8022187398682592E-2</v>
      </c>
      <c r="G198" s="102">
        <v>2.7879592400749387E-2</v>
      </c>
      <c r="H198" s="102">
        <v>-1.4168319637291029E-3</v>
      </c>
      <c r="I198" s="102">
        <v>-8.1610990177452322E-3</v>
      </c>
      <c r="J198" s="102">
        <v>1.7699880108835828E-3</v>
      </c>
      <c r="K198" s="102">
        <v>0.12206266318537859</v>
      </c>
    </row>
    <row r="199" spans="1:11" x14ac:dyDescent="0.3">
      <c r="A199" s="4">
        <v>44593</v>
      </c>
      <c r="B199" s="102">
        <v>2.3831823370807512E-2</v>
      </c>
      <c r="C199" s="102">
        <v>-2.3913563020838877E-3</v>
      </c>
      <c r="D199" s="102">
        <v>-2.2364157926415364E-2</v>
      </c>
      <c r="E199" s="102">
        <v>-3.6906586435598271E-2</v>
      </c>
      <c r="F199" s="102">
        <v>-2.8597342728231848E-2</v>
      </c>
      <c r="G199" s="102">
        <v>4.9528132870977105E-2</v>
      </c>
      <c r="H199" s="102">
        <v>4.9198354143020259E-3</v>
      </c>
      <c r="I199" s="102">
        <v>-1.0970775992735801E-3</v>
      </c>
      <c r="J199" s="102">
        <v>8.7159357658725314E-3</v>
      </c>
      <c r="K199" s="102">
        <v>-0.5960829939887532</v>
      </c>
    </row>
    <row r="200" spans="1:11" x14ac:dyDescent="0.3">
      <c r="A200" s="4">
        <v>44594</v>
      </c>
      <c r="B200" s="102">
        <v>-8.2154692416027183E-3</v>
      </c>
      <c r="C200" s="102">
        <v>-4.358227691362633E-3</v>
      </c>
      <c r="D200" s="102">
        <v>4.24835916382688E-2</v>
      </c>
      <c r="E200" s="102">
        <v>1.8279570191539692E-2</v>
      </c>
      <c r="F200" s="102">
        <v>-2.3364549871237473E-2</v>
      </c>
      <c r="G200" s="102">
        <v>-2.189657517755059E-2</v>
      </c>
      <c r="H200" s="102">
        <v>2.2978606246933592E-3</v>
      </c>
      <c r="I200" s="102">
        <v>-5.4914125020126287E-3</v>
      </c>
      <c r="J200" s="102">
        <v>7.2396800586743137E-3</v>
      </c>
      <c r="K200" s="102">
        <v>-0.12337974075852136</v>
      </c>
    </row>
    <row r="201" spans="1:11" x14ac:dyDescent="0.3">
      <c r="A201" s="4">
        <v>44595</v>
      </c>
      <c r="B201" s="102">
        <v>4.602367694035451E-4</v>
      </c>
      <c r="C201" s="102">
        <v>1.7728214660568009E-2</v>
      </c>
      <c r="D201" s="102">
        <v>-9.4042291858747531E-3</v>
      </c>
      <c r="E201" s="102">
        <v>1.7345712562089492E-2</v>
      </c>
      <c r="F201" s="102">
        <v>4.7846836567329238E-3</v>
      </c>
      <c r="G201" s="102">
        <v>0.12596942439978343</v>
      </c>
      <c r="H201" s="102">
        <v>-4.8598736432858337E-4</v>
      </c>
      <c r="I201" s="102">
        <v>1.3252276237658156E-2</v>
      </c>
      <c r="J201" s="102">
        <v>-6.0283600492028709E-3</v>
      </c>
      <c r="K201" s="102">
        <v>0.49479737130339541</v>
      </c>
    </row>
    <row r="202" spans="1:11" x14ac:dyDescent="0.3">
      <c r="A202" s="4">
        <v>44596</v>
      </c>
      <c r="B202" s="102">
        <v>-1.3109509641341414E-2</v>
      </c>
      <c r="C202" s="102">
        <v>1.0752680520556434E-2</v>
      </c>
      <c r="D202" s="102">
        <v>2.8480842057729178E-2</v>
      </c>
      <c r="E202" s="102">
        <v>-3.0741042972026508E-2</v>
      </c>
      <c r="F202" s="102">
        <v>3.8095755554649492E-3</v>
      </c>
      <c r="G202" s="102">
        <v>-1.3898911750183254E-2</v>
      </c>
      <c r="H202" s="102">
        <v>-2.9243886970618999E-4</v>
      </c>
      <c r="I202" s="102">
        <v>-7.6294342429705127E-3</v>
      </c>
      <c r="J202" s="102">
        <v>-6.414615717047668E-3</v>
      </c>
      <c r="K202" s="102">
        <v>0.38193808389814987</v>
      </c>
    </row>
    <row r="203" spans="1:11" x14ac:dyDescent="0.3">
      <c r="A203" s="4">
        <v>44600</v>
      </c>
      <c r="B203" s="102">
        <v>6.9914338383560333E-4</v>
      </c>
      <c r="C203" s="102">
        <v>2.2978768668401574E-2</v>
      </c>
      <c r="D203" s="102">
        <v>1.8461533717929319E-2</v>
      </c>
      <c r="E203" s="102">
        <v>-1.3247990348971665E-2</v>
      </c>
      <c r="F203" s="102">
        <v>3.1309186735350304E-2</v>
      </c>
      <c r="G203" s="102">
        <v>1.0555244679349927E-2</v>
      </c>
      <c r="H203" s="102">
        <v>-1.8291586927329908E-3</v>
      </c>
      <c r="I203" s="102">
        <v>-2.7457062510064141E-3</v>
      </c>
      <c r="J203" s="102">
        <v>-1.8782855749802083E-3</v>
      </c>
      <c r="K203" s="102">
        <v>0.16914103923647933</v>
      </c>
    </row>
    <row r="204" spans="1:11" x14ac:dyDescent="0.3">
      <c r="A204" s="4">
        <v>44601</v>
      </c>
      <c r="B204" s="102">
        <v>-9.3152380082186237E-3</v>
      </c>
      <c r="C204" s="102">
        <v>-5.4076990808075293E-3</v>
      </c>
      <c r="D204" s="102">
        <v>3.0210968164802389E-3</v>
      </c>
      <c r="E204" s="102">
        <v>-1.129201045473229E-2</v>
      </c>
      <c r="F204" s="102">
        <v>-2.0239150826528385E-2</v>
      </c>
      <c r="G204" s="102">
        <v>6.9518753368690858E-2</v>
      </c>
      <c r="H204" s="102">
        <v>1.5888820625806716E-3</v>
      </c>
      <c r="I204" s="102">
        <v>1.1013232882519187E-2</v>
      </c>
      <c r="J204" s="102">
        <v>4.2338291700866199E-3</v>
      </c>
      <c r="K204" s="102">
        <v>-0.57188208616780045</v>
      </c>
    </row>
    <row r="205" spans="1:11" x14ac:dyDescent="0.3">
      <c r="A205" s="4">
        <v>44602</v>
      </c>
      <c r="B205" s="102">
        <v>-1.1753680722697135E-2</v>
      </c>
      <c r="C205" s="102">
        <v>-3.3459149369084169E-3</v>
      </c>
      <c r="D205" s="102">
        <v>-3.0119972810831118E-3</v>
      </c>
      <c r="E205" s="102">
        <v>2.428112600065058E-3</v>
      </c>
      <c r="F205" s="102">
        <v>3.2863721498292402E-3</v>
      </c>
      <c r="G205" s="102">
        <v>-2.6725190058479547E-2</v>
      </c>
      <c r="H205" s="102">
        <v>-1.8296036211344973E-3</v>
      </c>
      <c r="I205" s="102">
        <v>4.9020045482942422E-3</v>
      </c>
      <c r="J205" s="102">
        <v>-2.5763242142531747E-3</v>
      </c>
      <c r="K205" s="102">
        <v>1.6528072033898304</v>
      </c>
    </row>
    <row r="206" spans="1:11" x14ac:dyDescent="0.3">
      <c r="A206" s="4">
        <v>44603</v>
      </c>
      <c r="B206" s="102">
        <v>0</v>
      </c>
      <c r="C206" s="102">
        <v>1.4477567825493249E-2</v>
      </c>
      <c r="D206" s="102">
        <v>-3.0210968164802389E-3</v>
      </c>
      <c r="E206" s="102">
        <v>1.4443365525439698E-2</v>
      </c>
      <c r="F206" s="102">
        <v>1.5442292812931668E-2</v>
      </c>
      <c r="G206" s="102">
        <v>-1.2316680240191068E-3</v>
      </c>
      <c r="H206" s="102">
        <v>3.7930559528727807E-3</v>
      </c>
      <c r="I206" s="102">
        <v>0</v>
      </c>
      <c r="J206" s="102">
        <v>-4.9313046534540973E-3</v>
      </c>
      <c r="K206" s="102">
        <v>-0.4448437655984826</v>
      </c>
    </row>
    <row r="207" spans="1:11" x14ac:dyDescent="0.3">
      <c r="A207" s="4">
        <v>44606</v>
      </c>
      <c r="B207" s="102">
        <v>2.0932350344189332E-2</v>
      </c>
      <c r="C207" s="102">
        <v>1.2409331241400598E-3</v>
      </c>
      <c r="D207" s="102">
        <v>1.8181812660675572E-2</v>
      </c>
      <c r="E207" s="102">
        <v>5.2175671853691343E-3</v>
      </c>
      <c r="F207" s="102">
        <v>1.8432072993460518E-3</v>
      </c>
      <c r="G207" s="102">
        <v>3.2636413320388059E-2</v>
      </c>
      <c r="H207" s="102">
        <v>1.4882680149038532E-3</v>
      </c>
      <c r="I207" s="102">
        <v>1.0839402652906432E-3</v>
      </c>
      <c r="J207" s="102">
        <v>-1.8880494310666005E-3</v>
      </c>
      <c r="K207" s="102">
        <v>-0.15896421506923214</v>
      </c>
    </row>
    <row r="208" spans="1:11" x14ac:dyDescent="0.3">
      <c r="A208" s="4">
        <v>44607</v>
      </c>
      <c r="B208" s="102">
        <v>-1.6309384324365583E-3</v>
      </c>
      <c r="C208" s="102">
        <v>-3.0778788476877355E-2</v>
      </c>
      <c r="D208" s="102">
        <v>1.7857137531423314E-2</v>
      </c>
      <c r="E208" s="102">
        <v>1.3504082745128316E-2</v>
      </c>
      <c r="F208" s="102">
        <v>1.1959617245742033E-2</v>
      </c>
      <c r="G208" s="102">
        <v>-6.058803008172433E-3</v>
      </c>
      <c r="H208" s="102">
        <v>1.7741334851008694E-3</v>
      </c>
      <c r="I208" s="102">
        <v>-3.248521699927496E-3</v>
      </c>
      <c r="J208" s="102">
        <v>1.0640828966677943E-3</v>
      </c>
      <c r="K208" s="102">
        <v>0.21274321146033781</v>
      </c>
    </row>
    <row r="209" spans="1:11" x14ac:dyDescent="0.3">
      <c r="A209" s="4">
        <v>44608</v>
      </c>
      <c r="B209" s="102">
        <v>4.6674986154956084E-3</v>
      </c>
      <c r="C209" s="102">
        <v>-6.3938748732395786E-3</v>
      </c>
      <c r="D209" s="102">
        <v>4.3859489767574367E-2</v>
      </c>
      <c r="E209" s="102">
        <v>2.1613537213941693E-2</v>
      </c>
      <c r="F209" s="102">
        <v>-1.6818153381093579E-2</v>
      </c>
      <c r="G209" s="102">
        <v>-6.1192207194208523E-2</v>
      </c>
      <c r="H209" s="102">
        <v>1.0485672503338947E-3</v>
      </c>
      <c r="I209" s="102">
        <v>-5.4323120397488617E-4</v>
      </c>
      <c r="J209" s="102">
        <v>-5.7864857228597435E-3</v>
      </c>
      <c r="K209" s="102">
        <v>-0.10877997179125529</v>
      </c>
    </row>
    <row r="210" spans="1:11" x14ac:dyDescent="0.3">
      <c r="A210" s="4">
        <v>44609</v>
      </c>
      <c r="B210" s="102">
        <v>7.8977686753272554E-3</v>
      </c>
      <c r="C210" s="102">
        <v>1.4371604674655295E-2</v>
      </c>
      <c r="D210" s="102">
        <v>2.8013539690386106E-3</v>
      </c>
      <c r="E210" s="102">
        <v>4.5881714522991246E-3</v>
      </c>
      <c r="F210" s="102">
        <v>1.155796212010851E-2</v>
      </c>
      <c r="G210" s="102">
        <v>2.0696775559677662E-2</v>
      </c>
      <c r="H210" s="102">
        <v>-7.3568050446522825E-5</v>
      </c>
      <c r="I210" s="102">
        <v>-8.1520618009968803E-3</v>
      </c>
      <c r="J210" s="102">
        <v>6.6516336813240333E-3</v>
      </c>
      <c r="K210" s="102">
        <v>0.90919881305637984</v>
      </c>
    </row>
    <row r="211" spans="1:11" x14ac:dyDescent="0.3">
      <c r="A211" s="4">
        <v>44610</v>
      </c>
      <c r="B211" s="102">
        <v>-8.2968619430331802E-3</v>
      </c>
      <c r="C211" s="102">
        <v>1.0784489108021982E-2</v>
      </c>
      <c r="D211" s="102">
        <v>1.3966241973854423E-2</v>
      </c>
      <c r="E211" s="102">
        <v>-4.3768736938814189E-2</v>
      </c>
      <c r="F211" s="102">
        <v>3.6563119675683653E-2</v>
      </c>
      <c r="G211" s="102">
        <v>-2.5812771734982649E-2</v>
      </c>
      <c r="H211" s="102">
        <v>2.4804767560408203E-3</v>
      </c>
      <c r="I211" s="102">
        <v>-1.6438689593261178E-3</v>
      </c>
      <c r="J211" s="102">
        <v>3.4216567183075787E-3</v>
      </c>
      <c r="K211" s="102">
        <v>-0.33799606258418818</v>
      </c>
    </row>
    <row r="212" spans="1:11" x14ac:dyDescent="0.3">
      <c r="A212" s="4">
        <v>44613</v>
      </c>
      <c r="B212" s="102">
        <v>-2.4633919110306223E-2</v>
      </c>
      <c r="C212" s="102">
        <v>6.4854069847227356E-3</v>
      </c>
      <c r="D212" s="102">
        <v>2.2038748489277102E-2</v>
      </c>
      <c r="E212" s="102">
        <v>1.5699572529110813E-2</v>
      </c>
      <c r="F212" s="102">
        <v>-8.8184183723874418E-3</v>
      </c>
      <c r="G212" s="102">
        <v>2.9918685931996102E-2</v>
      </c>
      <c r="H212" s="102">
        <v>1.3769627835617396E-3</v>
      </c>
      <c r="I212" s="102">
        <v>5.4878360090657207E-4</v>
      </c>
      <c r="J212" s="102">
        <v>7.2907600012790605E-3</v>
      </c>
      <c r="K212" s="102">
        <v>0.62028486461105026</v>
      </c>
    </row>
    <row r="213" spans="1:11" x14ac:dyDescent="0.3">
      <c r="A213" s="4">
        <v>44614</v>
      </c>
      <c r="B213" s="102">
        <v>4.0504625436714762E-3</v>
      </c>
      <c r="C213" s="102">
        <v>4.3649740650491525E-3</v>
      </c>
      <c r="D213" s="102">
        <v>-2.6953719229705327E-3</v>
      </c>
      <c r="E213" s="102">
        <v>1.0493390933239057E-2</v>
      </c>
      <c r="F213" s="102">
        <v>0</v>
      </c>
      <c r="G213" s="102">
        <v>2.4507736539094899E-2</v>
      </c>
      <c r="H213" s="102">
        <v>-1.8252824301733732E-3</v>
      </c>
      <c r="I213" s="102">
        <v>4.3883665940827538E-3</v>
      </c>
      <c r="J213" s="102">
        <v>3.1520817958647631E-3</v>
      </c>
      <c r="K213" s="102">
        <v>-6.4431993817619784E-2</v>
      </c>
    </row>
    <row r="214" spans="1:11" x14ac:dyDescent="0.3">
      <c r="A214" s="4">
        <v>44615</v>
      </c>
      <c r="B214" s="102">
        <v>2.6340760866462851E-2</v>
      </c>
      <c r="C214" s="102">
        <v>0</v>
      </c>
      <c r="D214" s="102">
        <v>2.4324180123300135E-2</v>
      </c>
      <c r="E214" s="102">
        <v>2.671420893852452E-3</v>
      </c>
      <c r="F214" s="102">
        <v>-1.0231226880528332E-2</v>
      </c>
      <c r="G214" s="102">
        <v>-3.1329957786433459E-2</v>
      </c>
      <c r="H214" s="102">
        <v>-2.7271964420575749E-3</v>
      </c>
      <c r="I214" s="102">
        <v>-6.5537055332126736E-3</v>
      </c>
      <c r="J214" s="102">
        <v>-7.2153312900224255E-3</v>
      </c>
      <c r="K214" s="102">
        <v>-0.50635002581311306</v>
      </c>
    </row>
    <row r="215" spans="1:11" x14ac:dyDescent="0.3">
      <c r="A215" s="4">
        <v>44616</v>
      </c>
      <c r="B215" s="102">
        <v>-1.5260047594452108E-2</v>
      </c>
      <c r="C215" s="102">
        <v>4.5529959620253333E-3</v>
      </c>
      <c r="D215" s="102">
        <v>5.2769555578176496E-3</v>
      </c>
      <c r="E215" s="102">
        <v>1.3536905107510844E-2</v>
      </c>
      <c r="F215" s="102">
        <v>-1.3483218153851707E-2</v>
      </c>
      <c r="G215" s="102">
        <v>-1.1088294137610697E-2</v>
      </c>
      <c r="H215" s="102">
        <v>4.2001486530073764E-3</v>
      </c>
      <c r="I215" s="102">
        <v>-6.0473075815077664E-3</v>
      </c>
      <c r="J215" s="102">
        <v>-1.0666881801621456E-2</v>
      </c>
      <c r="K215" s="102">
        <v>0.26375235306421252</v>
      </c>
    </row>
    <row r="216" spans="1:11" x14ac:dyDescent="0.3">
      <c r="A216" s="4">
        <v>44617</v>
      </c>
      <c r="B216" s="102">
        <v>1.1270171452860809E-2</v>
      </c>
      <c r="C216" s="102">
        <v>-2.4722959718554084E-3</v>
      </c>
      <c r="D216" s="102">
        <v>-2.6246277349954382E-3</v>
      </c>
      <c r="E216" s="102">
        <v>1.551815096371522E-2</v>
      </c>
      <c r="F216" s="102">
        <v>7.2893035123798959E-3</v>
      </c>
      <c r="G216" s="102">
        <v>2.7425823850268389E-2</v>
      </c>
      <c r="H216" s="102">
        <v>-3.6449205030269619E-3</v>
      </c>
      <c r="I216" s="102">
        <v>1.6593257575362951E-3</v>
      </c>
      <c r="J216" s="102">
        <v>3.5543110041365338E-4</v>
      </c>
      <c r="K216" s="102">
        <v>0.74064879179079779</v>
      </c>
    </row>
    <row r="217" spans="1:11" x14ac:dyDescent="0.3">
      <c r="A217" s="4">
        <v>44620</v>
      </c>
      <c r="B217" s="102">
        <v>1.4859587471528671E-2</v>
      </c>
      <c r="C217" s="102">
        <v>4.3371735921828346E-3</v>
      </c>
      <c r="D217" s="102">
        <v>0</v>
      </c>
      <c r="E217" s="102">
        <v>3.5072934516253628E-3</v>
      </c>
      <c r="F217" s="102">
        <v>3.8896400868196089E-2</v>
      </c>
      <c r="G217" s="102">
        <v>-7.2553400486772028E-3</v>
      </c>
      <c r="H217" s="102">
        <v>3.2062288441457388E-3</v>
      </c>
      <c r="I217" s="102">
        <v>-8.2827716449056007E-3</v>
      </c>
      <c r="J217" s="102">
        <v>7.2248393861748372E-3</v>
      </c>
      <c r="K217" s="102">
        <v>-0.27583911761909291</v>
      </c>
    </row>
    <row r="218" spans="1:11" x14ac:dyDescent="0.3">
      <c r="A218" s="4">
        <v>44621</v>
      </c>
      <c r="B218" s="102">
        <v>-1.1439066878847449E-2</v>
      </c>
      <c r="C218" s="102">
        <v>-2.4676998172513545E-3</v>
      </c>
      <c r="D218" s="102">
        <v>0</v>
      </c>
      <c r="E218" s="102">
        <v>-1.4229360125349396E-2</v>
      </c>
      <c r="F218" s="102">
        <v>6.9656167431332416E-3</v>
      </c>
      <c r="G218" s="102">
        <v>-3.3801289603765834E-2</v>
      </c>
      <c r="H218" s="102">
        <v>3.0667453728122308E-3</v>
      </c>
      <c r="I218" s="102">
        <v>1.3363072655646881E-2</v>
      </c>
      <c r="J218" s="102">
        <v>4.3509780827931865E-3</v>
      </c>
      <c r="K218" s="102">
        <v>-9.5456932773109238E-2</v>
      </c>
    </row>
    <row r="219" spans="1:11" x14ac:dyDescent="0.3">
      <c r="A219" s="4">
        <v>44622</v>
      </c>
      <c r="B219" s="102">
        <v>6.9438533855908197E-4</v>
      </c>
      <c r="C219" s="102">
        <v>-1.3811526950520165E-2</v>
      </c>
      <c r="D219" s="102">
        <v>-1.0526138134070828E-2</v>
      </c>
      <c r="E219" s="102">
        <v>1.2113323252400433E-2</v>
      </c>
      <c r="F219" s="102">
        <v>3.4587587321009503E-3</v>
      </c>
      <c r="G219" s="102">
        <v>3.5928770766936653E-3</v>
      </c>
      <c r="H219" s="102">
        <v>2.3887873248019807E-3</v>
      </c>
      <c r="I219" s="102">
        <v>-8.241756695340198E-3</v>
      </c>
      <c r="J219" s="102">
        <v>-4.4491685355306258E-3</v>
      </c>
      <c r="K219" s="102">
        <v>0.21599651618522281</v>
      </c>
    </row>
    <row r="220" spans="1:11" x14ac:dyDescent="0.3">
      <c r="A220" s="4">
        <v>44623</v>
      </c>
      <c r="B220" s="102">
        <v>-9.0195465792136716E-3</v>
      </c>
      <c r="C220" s="102">
        <v>-9.1973354200963527E-3</v>
      </c>
      <c r="D220" s="102">
        <v>-1.8616970242270683E-2</v>
      </c>
      <c r="E220" s="102">
        <v>-1.3177686578411332E-2</v>
      </c>
      <c r="F220" s="102">
        <v>-1.7233930936026452E-2</v>
      </c>
      <c r="G220" s="102">
        <v>2.8892159037292161E-3</v>
      </c>
      <c r="H220" s="102">
        <v>-1.3999812409462205E-3</v>
      </c>
      <c r="I220" s="102">
        <v>-5.5395219063401869E-4</v>
      </c>
      <c r="J220" s="102">
        <v>-3.528062458016212E-3</v>
      </c>
      <c r="K220" s="102">
        <v>0.20592097409573834</v>
      </c>
    </row>
    <row r="221" spans="1:11" x14ac:dyDescent="0.3">
      <c r="A221" s="4">
        <v>44624</v>
      </c>
      <c r="B221" s="102">
        <v>4.6674986154956084E-3</v>
      </c>
      <c r="C221" s="102">
        <v>-1.265804121222801E-3</v>
      </c>
      <c r="D221" s="102">
        <v>2.1680117447887462E-2</v>
      </c>
      <c r="E221" s="102">
        <v>-7.1418741662233678E-3</v>
      </c>
      <c r="F221" s="102">
        <v>-2.192018457378039E-2</v>
      </c>
      <c r="G221" s="102">
        <v>-1.4686087089035448E-2</v>
      </c>
      <c r="H221" s="102">
        <v>2.2368485135219533E-3</v>
      </c>
      <c r="I221" s="102">
        <v>1.1640749842311466E-2</v>
      </c>
      <c r="J221" s="102">
        <v>9.2058303584082006E-3</v>
      </c>
      <c r="K221" s="102">
        <v>0.35062363888338943</v>
      </c>
    </row>
    <row r="222" spans="1:11" x14ac:dyDescent="0.3">
      <c r="A222" s="4">
        <v>44627</v>
      </c>
      <c r="B222" s="102">
        <v>-3.0198009607669825E-3</v>
      </c>
      <c r="C222" s="102">
        <v>8.0270258460620678E-3</v>
      </c>
      <c r="D222" s="102">
        <v>-2.6524747703904074E-3</v>
      </c>
      <c r="E222" s="102">
        <v>5.9944863368003821E-3</v>
      </c>
      <c r="F222" s="102">
        <v>-2.0170434845006004E-2</v>
      </c>
      <c r="G222" s="102">
        <v>-1.1631614928728008E-2</v>
      </c>
      <c r="H222" s="102">
        <v>4.4949514232855902E-3</v>
      </c>
      <c r="I222" s="102">
        <v>2.7396880398822651E-3</v>
      </c>
      <c r="J222" s="102">
        <v>-1.3799638021969842E-2</v>
      </c>
      <c r="K222" s="102">
        <v>-0.48929932571093521</v>
      </c>
    </row>
    <row r="223" spans="1:11" x14ac:dyDescent="0.3">
      <c r="A223" s="4">
        <v>44628</v>
      </c>
      <c r="B223" s="102">
        <v>1.3979562006835932E-2</v>
      </c>
      <c r="C223" s="102">
        <v>-2.3051211827031483E-2</v>
      </c>
      <c r="D223" s="102">
        <v>1.3297645521202621E-2</v>
      </c>
      <c r="E223" s="102">
        <v>-1.1619544094726776E-2</v>
      </c>
      <c r="F223" s="102">
        <v>-2.2415372938562883E-2</v>
      </c>
      <c r="G223" s="102">
        <v>8.7459839228296622E-3</v>
      </c>
      <c r="H223" s="102">
        <v>-9.3988859555766346E-4</v>
      </c>
      <c r="I223" s="102">
        <v>-3.2786991703520119E-3</v>
      </c>
      <c r="J223" s="102">
        <v>2.2529813627733949E-3</v>
      </c>
      <c r="K223" s="102">
        <v>-0.29908151549942597</v>
      </c>
    </row>
    <row r="224" spans="1:11" x14ac:dyDescent="0.3">
      <c r="A224" s="4">
        <v>44629</v>
      </c>
      <c r="B224" s="102">
        <v>-3.6764366905960499E-3</v>
      </c>
      <c r="C224" s="102">
        <v>-2.7883973625614507E-3</v>
      </c>
      <c r="D224" s="102">
        <v>-5.2492554699908765E-3</v>
      </c>
      <c r="E224" s="102">
        <v>1.9765771595629301E-2</v>
      </c>
      <c r="F224" s="102">
        <v>2.0589662548098218E-2</v>
      </c>
      <c r="G224" s="102">
        <v>1.6574939383605086E-3</v>
      </c>
      <c r="H224" s="102">
        <v>4.2334776773980199E-3</v>
      </c>
      <c r="I224" s="102">
        <v>-1.0416635073192957E-2</v>
      </c>
      <c r="J224" s="102">
        <v>-2.6857592246309885E-2</v>
      </c>
      <c r="K224" s="102">
        <v>0.6478296478296478</v>
      </c>
    </row>
    <row r="225" spans="1:11" x14ac:dyDescent="0.3">
      <c r="A225" s="4">
        <v>44630</v>
      </c>
      <c r="B225" s="102">
        <v>7.1494162011139905E-3</v>
      </c>
      <c r="C225" s="102">
        <v>-4.3020015760971897E-3</v>
      </c>
      <c r="D225" s="102">
        <v>2.1108086634294875E-2</v>
      </c>
      <c r="E225" s="102">
        <v>-1.2541750282826437E-2</v>
      </c>
      <c r="F225" s="102">
        <v>6.4190485274854886E-3</v>
      </c>
      <c r="G225" s="102">
        <v>5.4480637553482668E-2</v>
      </c>
      <c r="H225" s="102">
        <v>6.5094300632344351E-3</v>
      </c>
      <c r="I225" s="102">
        <v>2.7700447401528888E-3</v>
      </c>
      <c r="J225" s="102">
        <v>-5.4710833291618599E-3</v>
      </c>
      <c r="K225" s="102">
        <v>-0.29212226640159045</v>
      </c>
    </row>
    <row r="226" spans="1:11" x14ac:dyDescent="0.3">
      <c r="A226" s="4">
        <v>44631</v>
      </c>
      <c r="B226" s="102">
        <v>-1.2594472851460885E-2</v>
      </c>
      <c r="C226" s="102">
        <v>1.4905980303688369E-2</v>
      </c>
      <c r="D226" s="102">
        <v>-2.3255681473912784E-2</v>
      </c>
      <c r="E226" s="102">
        <v>-4.0625704121361695E-3</v>
      </c>
      <c r="F226" s="102">
        <v>6.8337500192442117E-3</v>
      </c>
      <c r="G226" s="102">
        <v>6.5638583367270492E-2</v>
      </c>
      <c r="H226" s="102">
        <v>-2.6587918066780613E-3</v>
      </c>
      <c r="I226" s="102">
        <v>-1.6022104575966801E-2</v>
      </c>
      <c r="J226" s="102">
        <v>6.723761487490286E-3</v>
      </c>
      <c r="K226" s="102">
        <v>0.78286817623310512</v>
      </c>
    </row>
    <row r="227" spans="1:11" x14ac:dyDescent="0.3">
      <c r="A227" s="4">
        <v>44634</v>
      </c>
      <c r="B227" s="102">
        <v>5.3339387080247663E-3</v>
      </c>
      <c r="C227" s="102">
        <v>4.257281430312277E-4</v>
      </c>
      <c r="D227" s="102">
        <v>-3.9682661713845262E-2</v>
      </c>
      <c r="E227" s="102">
        <v>-2.0009527642754935E-2</v>
      </c>
      <c r="F227" s="102">
        <v>7.6922899107654576E-3</v>
      </c>
      <c r="G227" s="102">
        <v>-2.5601026263814147E-2</v>
      </c>
      <c r="H227" s="102">
        <v>-3.0021169213033769E-3</v>
      </c>
      <c r="I227" s="102">
        <v>-1.1791080843421082E-2</v>
      </c>
      <c r="J227" s="102">
        <v>-2.5500294820382042E-3</v>
      </c>
      <c r="K227" s="102">
        <v>-0.15093039283252929</v>
      </c>
    </row>
    <row r="228" spans="1:11" x14ac:dyDescent="0.3">
      <c r="A228" s="4">
        <v>44635</v>
      </c>
      <c r="B228" s="102">
        <v>-1.5686321595687357E-2</v>
      </c>
      <c r="C228" s="102">
        <v>-1.6595734703856085E-2</v>
      </c>
      <c r="D228" s="102">
        <v>2.7550506040407317E-3</v>
      </c>
      <c r="E228" s="102">
        <v>1.9015966739132403E-2</v>
      </c>
      <c r="F228" s="102">
        <v>3.4575702398262867E-2</v>
      </c>
      <c r="G228" s="102">
        <v>8.5447814113017041E-3</v>
      </c>
      <c r="H228" s="102">
        <v>-1.3317916210691637E-3</v>
      </c>
      <c r="I228" s="102">
        <v>1.9318205233905983E-2</v>
      </c>
      <c r="J228" s="102">
        <v>1.4608288922674107E-3</v>
      </c>
      <c r="K228" s="102">
        <v>6.180426716141002E-2</v>
      </c>
    </row>
    <row r="229" spans="1:11" x14ac:dyDescent="0.3">
      <c r="A229" s="4">
        <v>44636</v>
      </c>
      <c r="B229" s="102">
        <v>-2.343521168986533E-3</v>
      </c>
      <c r="C229" s="102">
        <v>-7.5725629831694414E-3</v>
      </c>
      <c r="D229" s="102">
        <v>1.2101030222843326E-2</v>
      </c>
      <c r="E229" s="102">
        <v>-2.5800028837626588E-4</v>
      </c>
      <c r="F229" s="102">
        <v>-1.2586816321289539E-2</v>
      </c>
      <c r="G229" s="102">
        <v>1.4405348133901042E-4</v>
      </c>
      <c r="H229" s="102">
        <v>1.9779530597968486E-3</v>
      </c>
      <c r="I229" s="102">
        <v>0</v>
      </c>
      <c r="J229" s="102">
        <v>2.7958873560508684E-3</v>
      </c>
      <c r="K229" s="102">
        <v>-0.19799060827782025</v>
      </c>
    </row>
    <row r="230" spans="1:11" x14ac:dyDescent="0.3">
      <c r="A230" s="4">
        <v>44637</v>
      </c>
      <c r="B230" s="102">
        <v>1.5503903912739505E-2</v>
      </c>
      <c r="C230" s="102">
        <v>1.482457076471887E-2</v>
      </c>
      <c r="D230" s="102">
        <v>-5.434702780511419E-3</v>
      </c>
      <c r="E230" s="102">
        <v>-3.6471552209613352E-2</v>
      </c>
      <c r="F230" s="102">
        <v>1.538455425485122E-2</v>
      </c>
      <c r="G230" s="102">
        <v>-1.3801674141656619E-2</v>
      </c>
      <c r="H230" s="102">
        <v>-6.603089007576852E-4</v>
      </c>
      <c r="I230" s="102">
        <v>5.0167098983140909E-3</v>
      </c>
      <c r="J230" s="102">
        <v>-6.6672427406632368E-3</v>
      </c>
      <c r="K230" s="102">
        <v>-0.10035403050108932</v>
      </c>
    </row>
    <row r="231" spans="1:11" x14ac:dyDescent="0.3">
      <c r="A231" s="4">
        <v>44638</v>
      </c>
      <c r="B231" s="102">
        <v>-1.457321056648616E-2</v>
      </c>
      <c r="C231" s="102">
        <v>-3.3386968947483782E-3</v>
      </c>
      <c r="D231" s="102">
        <v>0</v>
      </c>
      <c r="E231" s="102">
        <v>9.6861637102244828E-3</v>
      </c>
      <c r="F231" s="102">
        <v>-9.0908735334818969E-3</v>
      </c>
      <c r="G231" s="102">
        <v>-6.5591441614824234E-2</v>
      </c>
      <c r="H231" s="102">
        <v>2.5707117808804044E-3</v>
      </c>
      <c r="I231" s="102">
        <v>-1.6638704423185902E-3</v>
      </c>
      <c r="J231" s="102">
        <v>-7.3239410644705748E-4</v>
      </c>
      <c r="K231" s="102">
        <v>0.53186014832753137</v>
      </c>
    </row>
    <row r="232" spans="1:11" x14ac:dyDescent="0.3">
      <c r="A232" s="4">
        <v>44642</v>
      </c>
      <c r="B232" s="102">
        <v>8.9201541870189832E-3</v>
      </c>
      <c r="C232" s="102">
        <v>8.4287875513290138E-3</v>
      </c>
      <c r="D232" s="102">
        <v>0</v>
      </c>
      <c r="E232" s="102">
        <v>-4.4176285225633726E-5</v>
      </c>
      <c r="F232" s="102">
        <v>-3.2328559501853343E-2</v>
      </c>
      <c r="G232" s="102">
        <v>-2.1889499864833506E-4</v>
      </c>
      <c r="H232" s="102">
        <v>7.2083699472774156E-5</v>
      </c>
      <c r="I232" s="102">
        <v>1.6666605957276013E-2</v>
      </c>
      <c r="J232" s="102">
        <v>-1.257939385675195E-2</v>
      </c>
      <c r="K232" s="102">
        <v>0.30688667127754177</v>
      </c>
    </row>
    <row r="233" spans="1:11" x14ac:dyDescent="0.3">
      <c r="A233" s="4">
        <v>44643</v>
      </c>
      <c r="B233" s="102">
        <v>-1.0004669929940452E-2</v>
      </c>
      <c r="C233" s="102">
        <v>9.6442563223317693E-3</v>
      </c>
      <c r="D233" s="102">
        <v>2.1857874178767299E-2</v>
      </c>
      <c r="E233" s="102">
        <v>2.5067486396194931E-2</v>
      </c>
      <c r="F233" s="102">
        <v>2.5733596948952886E-2</v>
      </c>
      <c r="G233" s="102">
        <v>3.6466001563721706E-2</v>
      </c>
      <c r="H233" s="102">
        <v>1.2493607323175524E-3</v>
      </c>
      <c r="I233" s="102">
        <v>8.1967759168918089E-3</v>
      </c>
      <c r="J233" s="102">
        <v>-8.0395330570203673E-3</v>
      </c>
      <c r="K233" s="102">
        <v>-2.4646556286383913E-2</v>
      </c>
    </row>
    <row r="234" spans="1:11" x14ac:dyDescent="0.3">
      <c r="A234" s="4">
        <v>44644</v>
      </c>
      <c r="B234" s="102">
        <v>-9.165639887826137E-3</v>
      </c>
      <c r="C234" s="102">
        <v>-2.7807301468747523E-2</v>
      </c>
      <c r="D234" s="102">
        <v>1.6042812236120415E-2</v>
      </c>
      <c r="E234" s="102">
        <v>3.1052492718603446E-3</v>
      </c>
      <c r="F234" s="102">
        <v>3.521261292456535E-3</v>
      </c>
      <c r="G234" s="102">
        <v>5.0964013747756297E-2</v>
      </c>
      <c r="H234" s="102">
        <v>1.0215520048816567E-3</v>
      </c>
      <c r="I234" s="102">
        <v>-2.1681026381100746E-3</v>
      </c>
      <c r="J234" s="102">
        <v>-1.1471365739380035E-2</v>
      </c>
      <c r="K234" s="102">
        <v>-0.19262072707542052</v>
      </c>
    </row>
    <row r="235" spans="1:11" x14ac:dyDescent="0.3">
      <c r="A235" s="4">
        <v>44645</v>
      </c>
      <c r="B235" s="102">
        <v>2.1347666533527896E-3</v>
      </c>
      <c r="C235" s="102">
        <v>-4.5851311044787634E-3</v>
      </c>
      <c r="D235" s="102">
        <v>-2.3684124569049163E-2</v>
      </c>
      <c r="E235" s="102">
        <v>-2.6657175142050828E-3</v>
      </c>
      <c r="F235" s="102">
        <v>-2.5000133441583947E-2</v>
      </c>
      <c r="G235" s="102">
        <v>-2.6815955560698965E-2</v>
      </c>
      <c r="H235" s="102">
        <v>3.082075675231377E-3</v>
      </c>
      <c r="I235" s="102">
        <v>4.34546009907832E-3</v>
      </c>
      <c r="J235" s="102">
        <v>-8.2445171316550946E-3</v>
      </c>
      <c r="K235" s="102">
        <v>1.5574116743471582</v>
      </c>
    </row>
    <row r="236" spans="1:11" x14ac:dyDescent="0.3">
      <c r="A236" s="4">
        <v>44648</v>
      </c>
      <c r="B236" s="102">
        <v>-6.3904856118241517E-3</v>
      </c>
      <c r="C236" s="102">
        <v>-1.0528602763764125E-2</v>
      </c>
      <c r="D236" s="102">
        <v>2.6953777913281594E-3</v>
      </c>
      <c r="E236" s="102">
        <v>-9.1825663435926488E-3</v>
      </c>
      <c r="F236" s="102">
        <v>-4.4981564005408807E-4</v>
      </c>
      <c r="G236" s="102">
        <v>-1.5783591403269796E-2</v>
      </c>
      <c r="H236" s="102">
        <v>6.3876057915202922E-3</v>
      </c>
      <c r="I236" s="102">
        <v>2.433758720609051E-2</v>
      </c>
      <c r="J236" s="102">
        <v>5.3715050530728555E-3</v>
      </c>
      <c r="K236" s="102">
        <v>-0.11258352729183872</v>
      </c>
    </row>
    <row r="237" spans="1:11" x14ac:dyDescent="0.3">
      <c r="A237" s="4">
        <v>44649</v>
      </c>
      <c r="B237" s="102">
        <v>-3.5731338391031035E-2</v>
      </c>
      <c r="C237" s="102">
        <v>-3.1035246485583865E-3</v>
      </c>
      <c r="D237" s="102">
        <v>-1.6129062638325069E-2</v>
      </c>
      <c r="E237" s="102">
        <v>-3.3503516587006631E-3</v>
      </c>
      <c r="F237" s="102">
        <v>-9.0008902414318477E-3</v>
      </c>
      <c r="G237" s="102">
        <v>1.0191616416996715E-2</v>
      </c>
      <c r="H237" s="102">
        <v>-1.6893840193771012E-3</v>
      </c>
      <c r="I237" s="102">
        <v>4.2238602098024604E-3</v>
      </c>
      <c r="J237" s="102">
        <v>1.7810363191219434E-3</v>
      </c>
      <c r="K237" s="102">
        <v>1.6259148018105674</v>
      </c>
    </row>
    <row r="238" spans="1:11" x14ac:dyDescent="0.3">
      <c r="A238" s="4">
        <v>44650</v>
      </c>
      <c r="B238" s="102">
        <v>-8.6463057657559395E-3</v>
      </c>
      <c r="C238" s="102">
        <v>1.7344873974986047E-2</v>
      </c>
      <c r="D238" s="102">
        <v>-2.185787417876742E-2</v>
      </c>
      <c r="E238" s="102">
        <v>-1.7462706722282232E-2</v>
      </c>
      <c r="F238" s="102">
        <v>1.4078157716881022E-2</v>
      </c>
      <c r="G238" s="102">
        <v>-2.0236811363555728E-2</v>
      </c>
      <c r="H238" s="102">
        <v>-3.5068165445624319E-3</v>
      </c>
      <c r="I238" s="102">
        <v>3.47002102804745E-2</v>
      </c>
      <c r="J238" s="102">
        <v>-9.1428144411918495E-3</v>
      </c>
      <c r="K238" s="102">
        <v>-0.79145858169281824</v>
      </c>
    </row>
    <row r="239" spans="1:11" x14ac:dyDescent="0.3">
      <c r="A239" s="4">
        <v>44651</v>
      </c>
      <c r="B239" s="102">
        <v>-4.0119642199906505E-2</v>
      </c>
      <c r="C239" s="102">
        <v>-4.1529836065573823E-3</v>
      </c>
      <c r="D239" s="102">
        <v>5.3072678026648043E-2</v>
      </c>
      <c r="E239" s="102">
        <v>2.1994201145097508E-2</v>
      </c>
      <c r="F239" s="102">
        <v>-2.2391375988308957E-2</v>
      </c>
      <c r="G239" s="102">
        <v>-1.4385656655951685E-2</v>
      </c>
      <c r="H239" s="102">
        <v>1.4322152960595071E-3</v>
      </c>
      <c r="I239" s="102">
        <v>4.3699260897225381E-2</v>
      </c>
      <c r="J239" s="102">
        <v>1.4353254980190803E-2</v>
      </c>
      <c r="K239" s="102">
        <v>-0.3447663190421012</v>
      </c>
    </row>
    <row r="240" spans="1:11" x14ac:dyDescent="0.3">
      <c r="A240" s="4">
        <v>44652</v>
      </c>
      <c r="B240" s="102">
        <v>3.9979268366048669E-2</v>
      </c>
      <c r="C240" s="102">
        <v>-2.195346747248769E-4</v>
      </c>
      <c r="D240" s="102">
        <v>3.1830296477750243E-2</v>
      </c>
      <c r="E240" s="102">
        <v>6.4779550335355837E-3</v>
      </c>
      <c r="F240" s="102">
        <v>-1.7865328847730535E-2</v>
      </c>
      <c r="G240" s="102">
        <v>-3.2079651966078815E-2</v>
      </c>
      <c r="H240" s="102">
        <v>-7.3006619630063899E-3</v>
      </c>
      <c r="I240" s="102">
        <v>6.6212148689744427E-2</v>
      </c>
      <c r="J240" s="102">
        <v>-1.4529254302453455E-2</v>
      </c>
      <c r="K240" s="102">
        <v>0.54833765621315722</v>
      </c>
    </row>
    <row r="241" spans="1:11" x14ac:dyDescent="0.3">
      <c r="A241" s="4">
        <v>44655</v>
      </c>
      <c r="B241" s="102">
        <v>2.2466740602464217E-3</v>
      </c>
      <c r="C241" s="102">
        <v>-2.8979122480332058E-2</v>
      </c>
      <c r="D241" s="102">
        <v>-1.542444896875275E-2</v>
      </c>
      <c r="E241" s="102">
        <v>-5.4427815723859397E-3</v>
      </c>
      <c r="F241" s="102">
        <v>1.6790951841168959E-2</v>
      </c>
      <c r="G241" s="102">
        <v>5.6031726984126957E-2</v>
      </c>
      <c r="H241" s="102">
        <v>9.1174775664773361E-3</v>
      </c>
      <c r="I241" s="102">
        <v>-1.6894885147900961E-2</v>
      </c>
      <c r="J241" s="102">
        <v>6.6667013424905469E-3</v>
      </c>
      <c r="K241" s="102">
        <v>-0.29856087717962387</v>
      </c>
    </row>
    <row r="242" spans="1:11" x14ac:dyDescent="0.3">
      <c r="A242" s="4">
        <v>44656</v>
      </c>
      <c r="B242" s="102">
        <v>-3.9850191459726665E-3</v>
      </c>
      <c r="C242" s="102">
        <v>-1.5374203029617844E-2</v>
      </c>
      <c r="D242" s="102">
        <v>3.3942846031572597E-2</v>
      </c>
      <c r="E242" s="102">
        <v>9.9461413472894198E-3</v>
      </c>
      <c r="F242" s="102">
        <v>-2.7064127937369963E-2</v>
      </c>
      <c r="G242" s="102">
        <v>3.7276399289518682E-2</v>
      </c>
      <c r="H242" s="102">
        <v>7.1043489493039273E-4</v>
      </c>
      <c r="I242" s="102">
        <v>-2.1830035453453724E-2</v>
      </c>
      <c r="J242" s="102">
        <v>4.2027021394849063E-3</v>
      </c>
      <c r="K242" s="102">
        <v>0.19040382110290924</v>
      </c>
    </row>
    <row r="243" spans="1:11" x14ac:dyDescent="0.3">
      <c r="A243" s="4">
        <v>44657</v>
      </c>
      <c r="B243" s="102">
        <v>-1.1002855838024548E-2</v>
      </c>
      <c r="C243" s="102">
        <v>-1.1480826899674483E-3</v>
      </c>
      <c r="D243" s="102">
        <v>-3.535376642495551E-2</v>
      </c>
      <c r="E243" s="102">
        <v>-1.0665306576546256E-2</v>
      </c>
      <c r="F243" s="102">
        <v>1.4143422829024054E-3</v>
      </c>
      <c r="G243" s="102">
        <v>-8.0568001642706874E-2</v>
      </c>
      <c r="H243" s="102">
        <v>3.4307647888041568E-3</v>
      </c>
      <c r="I243" s="102">
        <v>-8.547085049095373E-3</v>
      </c>
      <c r="J243" s="102">
        <v>3.8043740562315368E-4</v>
      </c>
      <c r="K243" s="102">
        <v>-0.23809958052161226</v>
      </c>
    </row>
    <row r="244" spans="1:11" x14ac:dyDescent="0.3">
      <c r="A244" s="4">
        <v>44658</v>
      </c>
      <c r="B244" s="102">
        <v>-1.5168957665760235E-3</v>
      </c>
      <c r="C244" s="102">
        <v>-2.0229908045977012E-2</v>
      </c>
      <c r="D244" s="102">
        <v>-3.664920094040304E-2</v>
      </c>
      <c r="E244" s="102">
        <v>1.7604883814489717E-2</v>
      </c>
      <c r="F244" s="102">
        <v>3.5781616135956415E-2</v>
      </c>
      <c r="G244" s="102">
        <v>-8.0377872340425052E-3</v>
      </c>
      <c r="H244" s="102">
        <v>-1.9634061711887914E-3</v>
      </c>
      <c r="I244" s="102">
        <v>-6.2260171702930101E-3</v>
      </c>
      <c r="J244" s="102">
        <v>6.3395679481507235E-4</v>
      </c>
      <c r="K244" s="102">
        <v>6.6187911430281271E-2</v>
      </c>
    </row>
    <row r="245" spans="1:11" x14ac:dyDescent="0.3">
      <c r="A245" s="4">
        <v>44659</v>
      </c>
      <c r="B245" s="102">
        <v>5.3176340469522172E-3</v>
      </c>
      <c r="C245" s="102">
        <v>4.2233670629602774E-2</v>
      </c>
      <c r="D245" s="102">
        <v>0</v>
      </c>
      <c r="E245" s="102">
        <v>-1.6574115132782376E-2</v>
      </c>
      <c r="F245" s="102">
        <v>3.4999950403835113E-2</v>
      </c>
      <c r="G245" s="102">
        <v>-1.2488156498703933E-2</v>
      </c>
      <c r="H245" s="102">
        <v>-2.2386161282112539E-4</v>
      </c>
      <c r="I245" s="102">
        <v>2.6506004585483165E-2</v>
      </c>
      <c r="J245" s="102">
        <v>1.1909294760296878E-2</v>
      </c>
      <c r="K245" s="102">
        <v>0.75662325999101931</v>
      </c>
    </row>
    <row r="246" spans="1:11" x14ac:dyDescent="0.3">
      <c r="A246" s="4">
        <v>44662</v>
      </c>
      <c r="B246" s="102">
        <v>-1.0075474123559011E-3</v>
      </c>
      <c r="C246" s="102">
        <v>-6.3034446782279582E-3</v>
      </c>
      <c r="D246" s="102">
        <v>-2.7173513902557698E-3</v>
      </c>
      <c r="E246" s="102">
        <v>-8.6872046804478925E-4</v>
      </c>
      <c r="F246" s="102">
        <v>7.0268853270857422E-3</v>
      </c>
      <c r="G246" s="102">
        <v>4.1896001740373931E-2</v>
      </c>
      <c r="H246" s="102">
        <v>2.7208668776865638E-3</v>
      </c>
      <c r="I246" s="102">
        <v>3.2394401558812264E-2</v>
      </c>
      <c r="J246" s="102">
        <v>-2.128518065444084E-3</v>
      </c>
      <c r="K246" s="102">
        <v>-0.14691973415132925</v>
      </c>
    </row>
    <row r="247" spans="1:11" x14ac:dyDescent="0.3">
      <c r="A247" s="4">
        <v>44663</v>
      </c>
      <c r="B247" s="102">
        <v>-1.1598559692347533E-2</v>
      </c>
      <c r="C247" s="102">
        <v>-8.382397108799209E-3</v>
      </c>
      <c r="D247" s="102">
        <v>8.1745392735731431E-3</v>
      </c>
      <c r="E247" s="102">
        <v>5.9125009277949661E-3</v>
      </c>
      <c r="F247" s="102">
        <v>-1.4827787182615531E-2</v>
      </c>
      <c r="G247" s="102">
        <v>3.1532754922033439E-2</v>
      </c>
      <c r="H247" s="102">
        <v>-1.7289155199773211E-3</v>
      </c>
      <c r="I247" s="102">
        <v>2.1373336311862258E-2</v>
      </c>
      <c r="J247" s="102">
        <v>-1.2547087923684509E-2</v>
      </c>
      <c r="K247" s="102">
        <v>-0.58753464679002176</v>
      </c>
    </row>
    <row r="248" spans="1:11" x14ac:dyDescent="0.3">
      <c r="A248" s="4">
        <v>44664</v>
      </c>
      <c r="B248" s="102">
        <v>-1.0203987437283053E-3</v>
      </c>
      <c r="C248" s="102">
        <v>1.9876604980580304E-2</v>
      </c>
      <c r="D248" s="102">
        <v>-5.4055955123358083E-3</v>
      </c>
      <c r="E248" s="102">
        <v>-5.0565707849422985E-3</v>
      </c>
      <c r="F248" s="102">
        <v>-5.7547607703115752E-3</v>
      </c>
      <c r="G248" s="102">
        <v>5.1197335329341382E-3</v>
      </c>
      <c r="H248" s="102">
        <v>1.0032197932554807E-3</v>
      </c>
      <c r="I248" s="102">
        <v>-9.3499179054739832E-3</v>
      </c>
      <c r="J248" s="102">
        <v>5.2096595084018243E-3</v>
      </c>
      <c r="K248" s="102">
        <v>4.3281874318924807</v>
      </c>
    </row>
    <row r="249" spans="1:11" x14ac:dyDescent="0.3">
      <c r="A249" s="4">
        <v>44669</v>
      </c>
      <c r="B249" s="102">
        <v>-1.2768674693117495E-3</v>
      </c>
      <c r="C249" s="102">
        <v>2.9345923596458798E-2</v>
      </c>
      <c r="D249" s="102">
        <v>0.10326098487259458</v>
      </c>
      <c r="E249" s="102">
        <v>2.6064971979970433E-4</v>
      </c>
      <c r="F249" s="102">
        <v>4.4520920821506938E-4</v>
      </c>
      <c r="G249" s="102">
        <v>-1.1349072420069887E-2</v>
      </c>
      <c r="H249" s="102">
        <v>1.9096246436381887E-3</v>
      </c>
      <c r="I249" s="102">
        <v>3.0561789992644545E-2</v>
      </c>
      <c r="J249" s="102">
        <v>-8.8484793046193135E-3</v>
      </c>
      <c r="K249" s="102">
        <v>-0.34959266455329446</v>
      </c>
    </row>
    <row r="250" spans="1:11" x14ac:dyDescent="0.3">
      <c r="A250" s="4">
        <v>44670</v>
      </c>
      <c r="B250" s="102">
        <v>-3.0681347548750211E-3</v>
      </c>
      <c r="C250" s="102">
        <v>3.9173013293296709E-3</v>
      </c>
      <c r="D250" s="102">
        <v>8.382642998027566E-3</v>
      </c>
      <c r="E250" s="102">
        <v>-4.7776812883792389E-4</v>
      </c>
      <c r="F250" s="102">
        <v>1.1125889459265483E-2</v>
      </c>
      <c r="G250" s="102">
        <v>2.3501109192547991E-2</v>
      </c>
      <c r="H250" s="102">
        <v>-8.4485147511020734E-5</v>
      </c>
      <c r="I250" s="102">
        <v>-1.7008274670116241E-2</v>
      </c>
      <c r="J250" s="102">
        <v>2.5518457429117716E-4</v>
      </c>
      <c r="K250" s="102">
        <v>4.2293380850060271E-2</v>
      </c>
    </row>
    <row r="251" spans="1:11" x14ac:dyDescent="0.3">
      <c r="A251" s="4">
        <v>44671</v>
      </c>
      <c r="B251" s="102">
        <v>-3.3343566217610815E-3</v>
      </c>
      <c r="C251" s="102">
        <v>-1.0622197905436788E-2</v>
      </c>
      <c r="D251" s="102">
        <v>7.3349633251834348E-3</v>
      </c>
      <c r="E251" s="102">
        <v>-1.0861689141836602E-3</v>
      </c>
      <c r="F251" s="102">
        <v>7.0423497103058097E-3</v>
      </c>
      <c r="G251" s="102">
        <v>4.1301143669079339E-2</v>
      </c>
      <c r="H251" s="102">
        <v>1.4093313280498264E-3</v>
      </c>
      <c r="I251" s="102">
        <v>6.6548802500617016E-3</v>
      </c>
      <c r="J251" s="102">
        <v>-3.0601140546217204E-3</v>
      </c>
      <c r="K251" s="102">
        <v>0.71711584875301693</v>
      </c>
    </row>
    <row r="252" spans="1:11" x14ac:dyDescent="0.3">
      <c r="A252" s="4">
        <v>44672</v>
      </c>
      <c r="B252" s="102">
        <v>-1.3638564876689232E-2</v>
      </c>
      <c r="C252" s="102">
        <v>-3.2427673804287474E-2</v>
      </c>
      <c r="D252" s="102">
        <v>-1.9417475728155355E-2</v>
      </c>
      <c r="E252" s="102">
        <v>2.6098983546115646E-4</v>
      </c>
      <c r="F252" s="102">
        <v>1.3985946184638744E-2</v>
      </c>
      <c r="G252" s="102">
        <v>4.1274162626817722E-3</v>
      </c>
      <c r="H252" s="102">
        <v>-9.1123245877514314E-5</v>
      </c>
      <c r="I252" s="102">
        <v>1.1458814189045295E-2</v>
      </c>
      <c r="J252" s="102">
        <v>3.1973591035538659E-3</v>
      </c>
      <c r="K252" s="102">
        <v>-0.28535871156661785</v>
      </c>
    </row>
    <row r="253" spans="1:11" x14ac:dyDescent="0.3">
      <c r="A253" s="4">
        <v>44673</v>
      </c>
      <c r="B253" s="102">
        <v>7.8271005790145072E-4</v>
      </c>
      <c r="C253" s="102">
        <v>5.6612318840579719E-3</v>
      </c>
      <c r="D253" s="102">
        <v>-2.2277227722772242E-2</v>
      </c>
      <c r="E253" s="102">
        <v>-5.3484953072640935E-3</v>
      </c>
      <c r="F253" s="102">
        <v>2.4137921357202226E-2</v>
      </c>
      <c r="G253" s="102">
        <v>-8.7276386794245926E-4</v>
      </c>
      <c r="H253" s="102">
        <v>-4.7590920597417943E-3</v>
      </c>
      <c r="I253" s="102">
        <v>1.8736301885660386E-2</v>
      </c>
      <c r="J253" s="102">
        <v>3.5696868660802464E-3</v>
      </c>
      <c r="K253" s="102">
        <v>-0.30813357918459333</v>
      </c>
    </row>
    <row r="254" spans="1:11" x14ac:dyDescent="0.3">
      <c r="A254" s="4">
        <v>44676</v>
      </c>
      <c r="B254" s="102">
        <v>-3.2846895557859711E-2</v>
      </c>
      <c r="C254" s="102">
        <v>2.0265705922090389E-3</v>
      </c>
      <c r="D254" s="102">
        <v>-1.7721518987341842E-2</v>
      </c>
      <c r="E254" s="102">
        <v>-1.5957087694234685E-2</v>
      </c>
      <c r="F254" s="102">
        <v>5.8922329856206154E-3</v>
      </c>
      <c r="G254" s="102">
        <v>2.7361335840828796E-2</v>
      </c>
      <c r="H254" s="102">
        <v>-1.4922082987137096E-4</v>
      </c>
      <c r="I254" s="102">
        <v>-1.0692883777790044E-2</v>
      </c>
      <c r="J254" s="102">
        <v>-1.9309118161599706E-2</v>
      </c>
      <c r="K254" s="102">
        <v>1.2437074326325142E-3</v>
      </c>
    </row>
    <row r="255" spans="1:11" x14ac:dyDescent="0.3">
      <c r="A255" s="4">
        <v>44677</v>
      </c>
      <c r="B255" s="102">
        <v>2.5067449806774011E-2</v>
      </c>
      <c r="C255" s="102">
        <v>-3.168539325842689E-2</v>
      </c>
      <c r="D255" s="102">
        <v>-1.0309278350515474E-2</v>
      </c>
      <c r="E255" s="102">
        <v>1.4661404629396451E-3</v>
      </c>
      <c r="F255" s="102">
        <v>2.9289410589415522E-3</v>
      </c>
      <c r="G255" s="102">
        <v>-4.0264385093001759E-2</v>
      </c>
      <c r="H255" s="102">
        <v>-3.7616044990010284E-3</v>
      </c>
      <c r="I255" s="102">
        <v>3.5884080193980802E-2</v>
      </c>
      <c r="J255" s="102">
        <v>9.0682977608445012E-4</v>
      </c>
      <c r="K255" s="102">
        <v>-0.21838400567845737</v>
      </c>
    </row>
    <row r="256" spans="1:11" x14ac:dyDescent="0.3">
      <c r="A256" s="4">
        <v>44678</v>
      </c>
      <c r="B256" s="102">
        <v>2.1824824226790281E-2</v>
      </c>
      <c r="C256" s="102">
        <v>3.318635414249245E-2</v>
      </c>
      <c r="D256" s="102">
        <v>-3.3854166666666644E-2</v>
      </c>
      <c r="E256" s="102">
        <v>-5.4121232100096299E-3</v>
      </c>
      <c r="F256" s="102">
        <v>-1.2515711625674586E-3</v>
      </c>
      <c r="G256" s="102">
        <v>-3.8867153966824018E-2</v>
      </c>
      <c r="H256" s="102">
        <v>3.7383559405131522E-3</v>
      </c>
      <c r="I256" s="102">
        <v>1.2103552990596123E-2</v>
      </c>
      <c r="J256" s="102">
        <v>2.8472112743519159E-3</v>
      </c>
      <c r="K256" s="102">
        <v>-4.6208566671711825E-3</v>
      </c>
    </row>
    <row r="257" spans="1:11" x14ac:dyDescent="0.3">
      <c r="A257" s="4">
        <v>44679</v>
      </c>
      <c r="B257" s="102">
        <v>-1.8785304893130374E-2</v>
      </c>
      <c r="C257" s="102">
        <v>1.9106506963162619</v>
      </c>
      <c r="D257" s="102">
        <v>-1.3477088948786774E-3</v>
      </c>
      <c r="E257" s="102">
        <v>1.7038341430064819E-2</v>
      </c>
      <c r="F257" s="102">
        <v>6.6833838725513109E-3</v>
      </c>
      <c r="G257" s="102">
        <v>-4.8169724647912924E-3</v>
      </c>
      <c r="H257" s="102">
        <v>-3.7108646246735767E-3</v>
      </c>
      <c r="I257" s="102">
        <v>1.4433001537086704E-2</v>
      </c>
      <c r="J257" s="102">
        <v>-1.0969155988623438E-2</v>
      </c>
      <c r="K257" s="102">
        <v>-0.99996540697365</v>
      </c>
    </row>
    <row r="258" spans="1:11" x14ac:dyDescent="0.3">
      <c r="A258" s="4">
        <v>44680</v>
      </c>
      <c r="B258" s="102">
        <v>3.0684448254781213E-2</v>
      </c>
      <c r="C258" s="102">
        <v>-9.4586933484651567E-3</v>
      </c>
      <c r="D258" s="102">
        <v>370.05401538461535</v>
      </c>
      <c r="E258" s="102">
        <v>4.2978724663488722E-3</v>
      </c>
      <c r="F258" s="102">
        <v>1.5352752926313705E-2</v>
      </c>
      <c r="G258" s="102">
        <v>-9.4505374558514557E-2</v>
      </c>
      <c r="H258" s="102">
        <v>-5.8321644037096611E-3</v>
      </c>
      <c r="I258" s="102">
        <v>-1.2195161564911992E-2</v>
      </c>
      <c r="J258" s="102">
        <v>6.5239122314901673E-4</v>
      </c>
      <c r="K258" s="102">
        <v>-4.5274747252747244E-2</v>
      </c>
    </row>
    <row r="259" spans="1:11" x14ac:dyDescent="0.3">
      <c r="A259" s="4">
        <v>44683</v>
      </c>
      <c r="B259" s="102">
        <v>1.0178129132150838E-2</v>
      </c>
      <c r="C259" s="102">
        <v>-1.5384800446126246E-2</v>
      </c>
      <c r="D259" s="102">
        <v>-1.4215069735832599E-3</v>
      </c>
      <c r="E259" s="102">
        <v>1.8166022508297779E-2</v>
      </c>
      <c r="F259" s="102">
        <v>-4.0871934025193387E-4</v>
      </c>
      <c r="G259" s="102">
        <v>1.4254626240708862E-2</v>
      </c>
      <c r="H259" s="102">
        <v>-2.8081903268118574E-4</v>
      </c>
      <c r="I259" s="102">
        <v>4.1152539231656638E-3</v>
      </c>
      <c r="J259" s="102">
        <v>-1.9428880312761215E-2</v>
      </c>
      <c r="K259" s="102">
        <v>2.6703476673652759E-2</v>
      </c>
    </row>
    <row r="260" spans="1:11" x14ac:dyDescent="0.3">
      <c r="A260" s="4">
        <v>44684</v>
      </c>
      <c r="B260" s="102">
        <v>2.2418204154993016E-2</v>
      </c>
      <c r="C260" s="102">
        <v>1.116074890305358E-2</v>
      </c>
      <c r="D260" s="102">
        <v>-1.4163277396970222E-3</v>
      </c>
      <c r="E260" s="102">
        <v>2.4445917988000485E-3</v>
      </c>
      <c r="F260" s="102">
        <v>9.8119106308231594E-3</v>
      </c>
      <c r="G260" s="102">
        <v>4.5220878957302355E-2</v>
      </c>
      <c r="H260" s="102">
        <v>4.7375831132395437E-3</v>
      </c>
      <c r="I260" s="102">
        <v>1.065575845727083E-2</v>
      </c>
      <c r="J260" s="102">
        <v>5.3191119667820213E-3</v>
      </c>
      <c r="K260" s="102">
        <v>4.2600943614392102E-2</v>
      </c>
    </row>
    <row r="261" spans="1:11" x14ac:dyDescent="0.3">
      <c r="A261" s="4">
        <v>44685</v>
      </c>
      <c r="B261" s="102">
        <v>4.9273019185852975E-3</v>
      </c>
      <c r="C261" s="102">
        <v>-9.5913550074199789E-3</v>
      </c>
      <c r="D261" s="102">
        <v>-1.0781777142700232E-3</v>
      </c>
      <c r="E261" s="102">
        <v>6.2037069437029333E-3</v>
      </c>
      <c r="F261" s="102">
        <v>-1.4574818980712218E-2</v>
      </c>
      <c r="G261" s="102">
        <v>4.5442947103594908E-3</v>
      </c>
      <c r="H261" s="102">
        <v>1.4421896735127152E-3</v>
      </c>
      <c r="I261" s="102">
        <v>6.4882333936093113E-3</v>
      </c>
      <c r="J261" s="102">
        <v>-2.3808626785784097E-3</v>
      </c>
      <c r="K261" s="102">
        <v>-1.9569892473118206E-2</v>
      </c>
    </row>
    <row r="262" spans="1:11" x14ac:dyDescent="0.3">
      <c r="A262" s="4">
        <v>44686</v>
      </c>
      <c r="B262" s="102">
        <v>-4.1677386172071377E-3</v>
      </c>
      <c r="C262" s="102">
        <v>-1.9368045428363748E-2</v>
      </c>
      <c r="D262" s="102">
        <v>-6.5190155528498139E-4</v>
      </c>
      <c r="E262" s="102">
        <v>1.9729712824056864E-2</v>
      </c>
      <c r="F262" s="102">
        <v>8.2169170718838173E-3</v>
      </c>
      <c r="G262" s="102">
        <v>-6.9715562673221876E-2</v>
      </c>
      <c r="H262" s="102">
        <v>-6.809043771937139E-5</v>
      </c>
      <c r="I262" s="102">
        <v>1.1281192655987361E-2</v>
      </c>
      <c r="J262" s="102">
        <v>-1.0740041288903365E-2</v>
      </c>
      <c r="K262" s="102">
        <v>3.9701732836148217E-2</v>
      </c>
    </row>
    <row r="263" spans="1:11" x14ac:dyDescent="0.3">
      <c r="A263" s="4">
        <v>44687</v>
      </c>
      <c r="B263" s="102">
        <v>2.1171897237205941E-2</v>
      </c>
      <c r="C263" s="102">
        <v>-4.7030493496523929E-4</v>
      </c>
      <c r="D263" s="102">
        <v>-2.8276726633879581E-4</v>
      </c>
      <c r="E263" s="102">
        <v>1.1049916101840218E-2</v>
      </c>
      <c r="F263" s="102">
        <v>3.6674212861320752E-3</v>
      </c>
      <c r="G263" s="102">
        <v>-5.0726020874167881E-2</v>
      </c>
      <c r="H263" s="102">
        <v>-6.7005553153311626E-3</v>
      </c>
      <c r="I263" s="102">
        <v>8.7649417675954595E-3</v>
      </c>
      <c r="J263" s="102">
        <v>-2.2784678538608949E-3</v>
      </c>
      <c r="K263" s="102">
        <v>-1.2658649254908727E-3</v>
      </c>
    </row>
    <row r="264" spans="1:11" x14ac:dyDescent="0.3">
      <c r="A264" s="4">
        <v>44690</v>
      </c>
      <c r="B264" s="102">
        <v>7.9556551812194308E-3</v>
      </c>
      <c r="C264" s="102">
        <v>1.2467606886704069E-2</v>
      </c>
      <c r="D264" s="102">
        <v>3.9517406898654647E-3</v>
      </c>
      <c r="E264" s="102">
        <v>-1.196136133017152E-3</v>
      </c>
      <c r="F264" s="102">
        <v>2.0300822290409493E-3</v>
      </c>
      <c r="G264" s="102">
        <v>-3.5191742914573533E-2</v>
      </c>
      <c r="H264" s="102">
        <v>7.1913594000115773E-3</v>
      </c>
      <c r="I264" s="102">
        <v>-2.448651726086053E-2</v>
      </c>
      <c r="J264" s="102">
        <v>2.1762425238074309E-2</v>
      </c>
      <c r="K264" s="102">
        <v>0</v>
      </c>
    </row>
    <row r="265" spans="1:11" x14ac:dyDescent="0.3">
      <c r="A265" s="4">
        <v>44691</v>
      </c>
      <c r="B265" s="102">
        <v>1.339380083755525E-2</v>
      </c>
      <c r="C265" s="102">
        <v>-9.6034157126734642E-3</v>
      </c>
      <c r="D265" s="102">
        <v>-4.1962344186135129E-3</v>
      </c>
      <c r="E265" s="102">
        <v>3.7575524926917033E-3</v>
      </c>
      <c r="F265" s="102">
        <v>1.6207277483839206E-3</v>
      </c>
      <c r="G265" s="102">
        <v>-6.0549943028404253E-2</v>
      </c>
      <c r="H265" s="102">
        <v>-5.2750334369052918E-4</v>
      </c>
      <c r="I265" s="102">
        <v>-3.2388671524069448E-2</v>
      </c>
      <c r="J265" s="102">
        <v>5.1275242773047569E-3</v>
      </c>
      <c r="K265" s="102">
        <v>5.7034241656104628E-2</v>
      </c>
    </row>
    <row r="266" spans="1:11" x14ac:dyDescent="0.3">
      <c r="A266" s="4">
        <v>44692</v>
      </c>
      <c r="B266" s="102">
        <v>8.9687726054054149E-3</v>
      </c>
      <c r="C266" s="102">
        <v>7.8980642958566133E-3</v>
      </c>
      <c r="D266" s="102">
        <v>6.8900655780917562E-4</v>
      </c>
      <c r="E266" s="102">
        <v>-3.3320858101651063E-3</v>
      </c>
      <c r="F266" s="102">
        <v>5.1779923716883607E-2</v>
      </c>
      <c r="G266" s="102">
        <v>5.9033022751632774E-2</v>
      </c>
      <c r="H266" s="102">
        <v>4.0111413024972254E-3</v>
      </c>
      <c r="I266" s="102">
        <v>4.6025110341743364E-2</v>
      </c>
      <c r="J266" s="102">
        <v>-1.9751278868329156E-2</v>
      </c>
      <c r="K266" s="102">
        <v>-2.3781034696621954E-2</v>
      </c>
    </row>
    <row r="267" spans="1:11" x14ac:dyDescent="0.3">
      <c r="A267" s="4">
        <v>44693</v>
      </c>
      <c r="B267" s="102">
        <v>1.076010957972234E-2</v>
      </c>
      <c r="C267" s="102">
        <v>2.5525528375723978E-2</v>
      </c>
      <c r="D267" s="102">
        <v>2.6600345893406244E-3</v>
      </c>
      <c r="E267" s="102">
        <v>-4.8703236837643561E-3</v>
      </c>
      <c r="F267" s="102">
        <v>-2.6922971127655731E-3</v>
      </c>
      <c r="G267" s="102">
        <v>-1.2391202431046333E-2</v>
      </c>
      <c r="H267" s="102">
        <v>-1.8110289628976127E-3</v>
      </c>
      <c r="I267" s="102">
        <v>4.3999800351090957E-3</v>
      </c>
      <c r="J267" s="102">
        <v>1.147589904863686E-2</v>
      </c>
      <c r="K267" s="102">
        <v>-1.576245714482934E-2</v>
      </c>
    </row>
    <row r="268" spans="1:11" x14ac:dyDescent="0.3">
      <c r="A268" s="4">
        <v>44694</v>
      </c>
      <c r="B268" s="102">
        <v>-4.1657121407798238E-3</v>
      </c>
      <c r="C268" s="102">
        <v>-3.7808309521984251E-4</v>
      </c>
      <c r="D268" s="102">
        <v>4.488846860323142E-3</v>
      </c>
      <c r="E268" s="102">
        <v>-1.6591750478358971E-3</v>
      </c>
      <c r="F268" s="102">
        <v>-3.4709018854603493E-3</v>
      </c>
      <c r="G268" s="102">
        <v>6.2067392856379675E-2</v>
      </c>
      <c r="H268" s="102">
        <v>2.5549900450520754E-3</v>
      </c>
      <c r="I268" s="102">
        <v>-5.6152925658327683E-2</v>
      </c>
      <c r="J268" s="102">
        <v>-6.9922813301606171E-3</v>
      </c>
      <c r="K268" s="102">
        <v>1.7262852859282248E-2</v>
      </c>
    </row>
    <row r="269" spans="1:11" x14ac:dyDescent="0.3">
      <c r="A269" s="4">
        <v>44697</v>
      </c>
      <c r="B269" s="102">
        <v>2.045085350923535E-2</v>
      </c>
      <c r="C269" s="102">
        <v>1.5060694886313833E-2</v>
      </c>
      <c r="D269" s="102">
        <v>7.4266670376536194E-3</v>
      </c>
      <c r="E269" s="102">
        <v>-2.4095991345535282E-3</v>
      </c>
      <c r="F269" s="102">
        <v>-3.491081444128992E-2</v>
      </c>
      <c r="G269" s="102">
        <v>-2.4637497287905884E-2</v>
      </c>
      <c r="H269" s="102">
        <v>-8.7773402286856091E-4</v>
      </c>
      <c r="I269" s="102">
        <v>2.362866772514265E-2</v>
      </c>
      <c r="J269" s="102">
        <v>3.1886810135931293E-3</v>
      </c>
      <c r="K269" s="102">
        <v>3.2917603762011992E-2</v>
      </c>
    </row>
    <row r="270" spans="1:11" x14ac:dyDescent="0.3">
      <c r="A270" s="4">
        <v>44698</v>
      </c>
      <c r="B270" s="102">
        <v>-6.6044165738592172E-3</v>
      </c>
      <c r="C270" s="102">
        <v>-5.1444897394682543E-3</v>
      </c>
      <c r="D270" s="102">
        <v>-3.9291794195082399E-4</v>
      </c>
      <c r="E270" s="102">
        <v>-4.1641915806774527E-4</v>
      </c>
      <c r="F270" s="102">
        <v>1.2058282509533915E-3</v>
      </c>
      <c r="G270" s="102">
        <v>1.9900588450788417E-2</v>
      </c>
      <c r="H270" s="102">
        <v>-2.5914204986788062E-3</v>
      </c>
      <c r="I270" s="102">
        <v>6.18305861870463E-3</v>
      </c>
      <c r="J270" s="102">
        <v>2.251420146639069E-3</v>
      </c>
      <c r="K270" s="102">
        <v>-2.5732581155977837E-3</v>
      </c>
    </row>
    <row r="271" spans="1:11" x14ac:dyDescent="0.3">
      <c r="A271" s="4">
        <v>44699</v>
      </c>
      <c r="B271" s="102">
        <v>-9.169308215807502E-4</v>
      </c>
      <c r="C271" s="102">
        <v>-2.9977771378525577E-4</v>
      </c>
      <c r="D271" s="102">
        <v>1.5010623141918983E-4</v>
      </c>
      <c r="E271" s="102">
        <v>5.6662369083657349E-3</v>
      </c>
      <c r="F271" s="102">
        <v>-2.9706944874864288E-2</v>
      </c>
      <c r="G271" s="102">
        <v>-2.6973622373581926E-3</v>
      </c>
      <c r="H271" s="102">
        <v>1.9112070871095401E-3</v>
      </c>
      <c r="I271" s="102">
        <v>-4.0970446424671707E-4</v>
      </c>
      <c r="J271" s="102">
        <v>2.3783455570127827E-3</v>
      </c>
      <c r="K271" s="102">
        <v>-3.4530601995050689E-2</v>
      </c>
    </row>
    <row r="272" spans="1:11" x14ac:dyDescent="0.3">
      <c r="A272" s="4">
        <v>44700</v>
      </c>
      <c r="B272" s="102">
        <v>-1.5144659480879886E-2</v>
      </c>
      <c r="C272" s="102">
        <v>-8.3215996934214598E-3</v>
      </c>
      <c r="D272" s="102">
        <v>-2.7936496651959374E-3</v>
      </c>
      <c r="E272" s="102">
        <v>-1.6115703265542909E-2</v>
      </c>
      <c r="F272" s="102">
        <v>-9.5159506841940283E-3</v>
      </c>
      <c r="G272" s="102">
        <v>-4.7068600603683477E-3</v>
      </c>
      <c r="H272" s="102">
        <v>-6.5610606312602703E-3</v>
      </c>
      <c r="I272" s="102">
        <v>2.0491772132951665E-2</v>
      </c>
      <c r="J272" s="102">
        <v>-7.9086443523766368E-4</v>
      </c>
      <c r="K272" s="102">
        <v>2.4049289864366288E-2</v>
      </c>
    </row>
    <row r="273" spans="1:11" x14ac:dyDescent="0.3">
      <c r="A273" s="4">
        <v>44701</v>
      </c>
      <c r="B273" s="102">
        <v>-1.8406205083937064E-2</v>
      </c>
      <c r="C273" s="102">
        <v>-1.3056846196274704E-2</v>
      </c>
      <c r="D273" s="102">
        <v>-2.8014760077067582E-3</v>
      </c>
      <c r="E273" s="102">
        <v>-1.1369337835480295E-3</v>
      </c>
      <c r="F273" s="102">
        <v>-1.5455305201709442E-2</v>
      </c>
      <c r="G273" s="102">
        <v>-4.1009333876633185E-2</v>
      </c>
      <c r="H273" s="102">
        <v>9.6691312131866867E-4</v>
      </c>
      <c r="I273" s="102">
        <v>1.8875570993479768E-2</v>
      </c>
      <c r="J273" s="102">
        <v>3.5620344798600319E-3</v>
      </c>
      <c r="K273" s="102">
        <v>-1.665993576876763E-2</v>
      </c>
    </row>
    <row r="274" spans="1:11" x14ac:dyDescent="0.3">
      <c r="A274" s="4">
        <v>44704</v>
      </c>
      <c r="B274" s="102">
        <v>9.4943338185917263E-3</v>
      </c>
      <c r="C274" s="102">
        <v>1.3306718290419847E-2</v>
      </c>
      <c r="D274" s="102">
        <v>-5.1014562627312273E-3</v>
      </c>
      <c r="E274" s="102">
        <v>-7.9672379048883833E-3</v>
      </c>
      <c r="F274" s="102">
        <v>-1.3576564938471307E-2</v>
      </c>
      <c r="G274" s="102">
        <v>1.39835124799669E-3</v>
      </c>
      <c r="H274" s="102">
        <v>2.3722808370907947E-3</v>
      </c>
      <c r="I274" s="102">
        <v>1.1430746244548524E-2</v>
      </c>
      <c r="J274" s="102">
        <v>-1.4329062435493121E-2</v>
      </c>
      <c r="K274" s="102">
        <v>-1.6330270817298672E-3</v>
      </c>
    </row>
    <row r="275" spans="1:11" x14ac:dyDescent="0.3">
      <c r="A275" s="4">
        <v>44705</v>
      </c>
      <c r="B275" s="102">
        <v>1.7164379451230206E-2</v>
      </c>
      <c r="C275" s="102">
        <v>4.7820347359763217E-3</v>
      </c>
      <c r="D275" s="102">
        <v>-5.1493875204495429E-3</v>
      </c>
      <c r="E275" s="102">
        <v>7.3938174791745113E-3</v>
      </c>
      <c r="F275" s="102">
        <v>6.0214826349872042E-3</v>
      </c>
      <c r="G275" s="102">
        <v>1.234800700165424E-2</v>
      </c>
      <c r="H275" s="102">
        <v>-6.0886325094836567E-3</v>
      </c>
      <c r="I275" s="102">
        <v>2.533126528047934E-2</v>
      </c>
      <c r="J275" s="102">
        <v>1.0536098802183492E-2</v>
      </c>
      <c r="K275" s="102">
        <v>-2.3717031281946365E-2</v>
      </c>
    </row>
    <row r="276" spans="1:11" x14ac:dyDescent="0.3">
      <c r="A276" s="4">
        <v>44706</v>
      </c>
      <c r="B276" s="102">
        <v>-3.2362640275658975E-3</v>
      </c>
      <c r="C276" s="102">
        <v>1.1860661054624241E-2</v>
      </c>
      <c r="D276" s="102">
        <v>2.7894143074734153E-3</v>
      </c>
      <c r="E276" s="102">
        <v>2.9738091324392313E-2</v>
      </c>
      <c r="F276" s="102">
        <v>1.4108648034400435E-2</v>
      </c>
      <c r="G276" s="102">
        <v>-2.9658449088254945E-2</v>
      </c>
      <c r="H276" s="102">
        <v>-6.1225049165051608E-3</v>
      </c>
      <c r="I276" s="102">
        <v>-2.7746072130784904E-2</v>
      </c>
      <c r="J276" s="102">
        <v>2.6131782872145563E-2</v>
      </c>
      <c r="K276" s="102">
        <v>-4.6073319371727754E-2</v>
      </c>
    </row>
    <row r="277" spans="1:11" x14ac:dyDescent="0.3">
      <c r="A277" s="4">
        <v>44707</v>
      </c>
      <c r="B277" s="102">
        <v>-9.5083453868444415E-3</v>
      </c>
      <c r="C277" s="102">
        <v>-6.1967524862162355E-3</v>
      </c>
      <c r="D277" s="102">
        <v>2.6007313993370008E-3</v>
      </c>
      <c r="E277" s="102">
        <v>2.7855661832409426E-3</v>
      </c>
      <c r="F277" s="102">
        <v>4.4266438332319059E-2</v>
      </c>
      <c r="G277" s="102">
        <v>-3.2248392768352688E-2</v>
      </c>
      <c r="H277" s="102">
        <v>2.0580032886685826E-3</v>
      </c>
      <c r="I277" s="102">
        <v>1.6028165824775408E-2</v>
      </c>
      <c r="J277" s="102">
        <v>2.572442578754738E-4</v>
      </c>
      <c r="K277" s="102">
        <v>6.3666521705083622E-3</v>
      </c>
    </row>
    <row r="278" spans="1:11" x14ac:dyDescent="0.3">
      <c r="A278" s="4">
        <v>44708</v>
      </c>
      <c r="B278" s="102">
        <v>3.535481698296114E-2</v>
      </c>
      <c r="C278" s="102">
        <v>6.7612500017594189E-3</v>
      </c>
      <c r="D278" s="102">
        <v>7.96986822804875E-5</v>
      </c>
      <c r="E278" s="102">
        <v>-6.1274622557383812E-3</v>
      </c>
      <c r="F278" s="102">
        <v>-4.4408728955002801E-3</v>
      </c>
      <c r="G278" s="102">
        <v>-1.5656363497736806E-2</v>
      </c>
      <c r="H278" s="102">
        <v>4.6407783022113366E-3</v>
      </c>
      <c r="I278" s="102">
        <v>8.8495139182607173E-3</v>
      </c>
      <c r="J278" s="102">
        <v>1.5430819097678385E-3</v>
      </c>
      <c r="K278" s="102">
        <v>5.4101221640488584E-2</v>
      </c>
    </row>
    <row r="279" spans="1:11" x14ac:dyDescent="0.3">
      <c r="A279" s="4">
        <v>44711</v>
      </c>
      <c r="B279" s="102">
        <v>-3.0077042089480675E-2</v>
      </c>
      <c r="C279" s="102">
        <v>8.3576482326280527E-3</v>
      </c>
      <c r="D279" s="102">
        <v>4.3979181190233908E-3</v>
      </c>
      <c r="E279" s="102">
        <v>-7.8504143727997286E-3</v>
      </c>
      <c r="F279" s="102">
        <v>2.4330922057999227E-3</v>
      </c>
      <c r="G279" s="102">
        <v>2.62341156534164E-2</v>
      </c>
      <c r="H279" s="102">
        <v>-2.0614108679498258E-3</v>
      </c>
      <c r="I279" s="102">
        <v>-4.9580179806003027E-3</v>
      </c>
      <c r="J279" s="102">
        <v>1.7075362853038373E-2</v>
      </c>
      <c r="K279" s="102">
        <v>-5.3807740066225277E-3</v>
      </c>
    </row>
    <row r="280" spans="1:11" x14ac:dyDescent="0.3">
      <c r="A280" s="4">
        <v>44712</v>
      </c>
      <c r="B280" s="102">
        <v>2.3330958334762041E-4</v>
      </c>
      <c r="C280" s="102">
        <v>1.1396346826225959E-2</v>
      </c>
      <c r="D280" s="102">
        <v>-8.6634720347544217E-3</v>
      </c>
      <c r="E280" s="102">
        <v>1.3463617207049616E-2</v>
      </c>
      <c r="F280" s="102">
        <v>1.5776673145100627E-2</v>
      </c>
      <c r="G280" s="102">
        <v>-3.3370334341359546E-2</v>
      </c>
      <c r="H280" s="102">
        <v>-6.9999416671529175E-4</v>
      </c>
      <c r="I280" s="102">
        <v>-1.8781118209546588E-2</v>
      </c>
      <c r="J280" s="102">
        <v>8.5836294775931046E-3</v>
      </c>
      <c r="K280" s="102">
        <v>-3.4956303891878815E-2</v>
      </c>
    </row>
    <row r="281" spans="1:11" x14ac:dyDescent="0.3">
      <c r="A281" s="4">
        <v>44713</v>
      </c>
      <c r="B281" s="102">
        <v>3.4964105387540094E-3</v>
      </c>
      <c r="C281" s="102">
        <v>-6.8045808646436381E-3</v>
      </c>
      <c r="D281" s="102">
        <v>3.1361587304756956E-3</v>
      </c>
      <c r="E281" s="102">
        <v>-8.1745070512934429E-4</v>
      </c>
      <c r="F281" s="102">
        <v>2.668260746313094E-2</v>
      </c>
      <c r="G281" s="102">
        <v>2.0190847146614545E-2</v>
      </c>
      <c r="H281" s="102">
        <v>-1.7958499727017303E-3</v>
      </c>
      <c r="I281" s="102">
        <v>-2.734381159081703E-2</v>
      </c>
      <c r="J281" s="102">
        <v>-7.1339290011999028E-3</v>
      </c>
      <c r="K281" s="102">
        <v>1.962052566579282E-2</v>
      </c>
    </row>
    <row r="282" spans="1:11" x14ac:dyDescent="0.3">
      <c r="A282" s="4">
        <v>44714</v>
      </c>
      <c r="B282" s="102">
        <v>-1.0917473296876217E-2</v>
      </c>
      <c r="C282" s="102">
        <v>6.6296830517366281E-4</v>
      </c>
      <c r="D282" s="102">
        <v>6.1295156123775136E-3</v>
      </c>
      <c r="E282" s="102">
        <v>1.1315429229536751E-2</v>
      </c>
      <c r="F282" s="102">
        <v>-1.6291713416307287E-2</v>
      </c>
      <c r="G282" s="102">
        <v>3.9815320425198426E-2</v>
      </c>
      <c r="H282" s="102">
        <v>5.5864384390996533E-3</v>
      </c>
      <c r="I282" s="102">
        <v>-1.5260998406721196E-2</v>
      </c>
      <c r="J282" s="102">
        <v>-6.3027062063183243E-3</v>
      </c>
      <c r="K282" s="102">
        <v>-1.7339817776700687E-2</v>
      </c>
    </row>
    <row r="283" spans="1:11" x14ac:dyDescent="0.3">
      <c r="A283" s="4">
        <v>44715</v>
      </c>
      <c r="B283" s="102">
        <v>-3.2880442048102898E-3</v>
      </c>
      <c r="C283" s="102">
        <v>-1.5460895816840523E-3</v>
      </c>
      <c r="D283" s="102">
        <v>6.4881451062155128E-4</v>
      </c>
      <c r="E283" s="102">
        <v>3.9465525570357039E-3</v>
      </c>
      <c r="F283" s="102">
        <v>4.3375562504876144E-3</v>
      </c>
      <c r="G283" s="102">
        <v>1.9219980479045443E-2</v>
      </c>
      <c r="H283" s="102">
        <v>5.4048876604351713E-4</v>
      </c>
      <c r="I283" s="102">
        <v>-1.5089722896881526E-2</v>
      </c>
      <c r="J283" s="102">
        <v>-3.5521310423016011E-3</v>
      </c>
      <c r="K283" s="102">
        <v>2.0012932644438659E-2</v>
      </c>
    </row>
    <row r="284" spans="1:11" x14ac:dyDescent="0.3">
      <c r="A284" s="4">
        <v>44718</v>
      </c>
      <c r="B284" s="102">
        <v>-7.0687871163116357E-3</v>
      </c>
      <c r="C284" s="102">
        <v>2.8093181610582007E-2</v>
      </c>
      <c r="D284" s="102">
        <v>-2.7811408991585958E-3</v>
      </c>
      <c r="E284" s="102">
        <v>-1.191486728907634E-2</v>
      </c>
      <c r="F284" s="102">
        <v>6.6745377737364954E-3</v>
      </c>
      <c r="G284" s="102">
        <v>7.3226655293437534E-4</v>
      </c>
      <c r="H284" s="102">
        <v>5.9831923579260629E-4</v>
      </c>
      <c r="I284" s="102">
        <v>1.035195097674935E-2</v>
      </c>
      <c r="J284" s="102">
        <v>1.2476263937504674E-2</v>
      </c>
      <c r="K284" s="102">
        <v>-8.227932142281293E-3</v>
      </c>
    </row>
    <row r="285" spans="1:11" x14ac:dyDescent="0.3">
      <c r="A285" s="4">
        <v>44719</v>
      </c>
      <c r="B285" s="102">
        <v>-1.186399508531667E-3</v>
      </c>
      <c r="C285" s="102">
        <v>4.8054299585391178E-3</v>
      </c>
      <c r="D285" s="102">
        <v>-3.807478314126343E-3</v>
      </c>
      <c r="E285" s="102">
        <v>3.4453157396473612E-3</v>
      </c>
      <c r="F285" s="102">
        <v>-1.2090481379280048E-2</v>
      </c>
      <c r="G285" s="102">
        <v>3.3077235261349522E-2</v>
      </c>
      <c r="H285" s="102">
        <v>3.235825750612438E-3</v>
      </c>
      <c r="I285" s="102">
        <v>-4.9179648513222362E-3</v>
      </c>
      <c r="J285" s="102">
        <v>4.1494335893990947E-3</v>
      </c>
      <c r="K285" s="102">
        <v>9.9979157625148963E-3</v>
      </c>
    </row>
    <row r="286" spans="1:11" x14ac:dyDescent="0.3">
      <c r="A286" s="4">
        <v>44720</v>
      </c>
      <c r="B286" s="102">
        <v>-4.0390866864866964E-3</v>
      </c>
      <c r="C286" s="102">
        <v>-2.1414132740118917E-3</v>
      </c>
      <c r="D286" s="102">
        <v>-3.3652659811485722E-3</v>
      </c>
      <c r="E286" s="102">
        <v>-3.5560280557541363E-3</v>
      </c>
      <c r="F286" s="102">
        <v>1.1843596549019019E-2</v>
      </c>
      <c r="G286" s="102">
        <v>-7.7566127046342836E-3</v>
      </c>
      <c r="H286" s="102">
        <v>-3.9985286504455207E-3</v>
      </c>
      <c r="I286" s="102">
        <v>3.7067874619774043E-3</v>
      </c>
      <c r="J286" s="102">
        <v>-3.0052147645508536E-3</v>
      </c>
      <c r="K286" s="102">
        <v>1.1373209772535937E-2</v>
      </c>
    </row>
    <row r="287" spans="1:11" x14ac:dyDescent="0.3">
      <c r="A287" s="4">
        <v>44721</v>
      </c>
      <c r="B287" s="102">
        <v>-7.6336166741053984E-3</v>
      </c>
      <c r="C287" s="102">
        <v>-6.4394176218742231E-4</v>
      </c>
      <c r="D287" s="102">
        <v>-2.6198319577855904E-3</v>
      </c>
      <c r="E287" s="102">
        <v>-3.6508112344031444E-3</v>
      </c>
      <c r="F287" s="102">
        <v>1.9508457659486004E-2</v>
      </c>
      <c r="G287" s="102">
        <v>2.819946517650114E-3</v>
      </c>
      <c r="H287" s="102">
        <v>-3.4571903403845189E-3</v>
      </c>
      <c r="I287" s="102">
        <v>2.9954739992049732E-2</v>
      </c>
      <c r="J287" s="102">
        <v>2.5090346761404093E-4</v>
      </c>
      <c r="K287" s="102">
        <v>-1.2703040399833538E-2</v>
      </c>
    </row>
    <row r="288" spans="1:11" x14ac:dyDescent="0.3">
      <c r="A288" s="4">
        <v>44722</v>
      </c>
      <c r="B288" s="102">
        <v>6.4904374057720279E-3</v>
      </c>
      <c r="C288" s="102">
        <v>5.0124366036432861E-4</v>
      </c>
      <c r="D288" s="102">
        <v>1.510411827317307E-3</v>
      </c>
      <c r="E288" s="102">
        <v>1.4409706171463284E-2</v>
      </c>
      <c r="F288" s="102">
        <v>2.6406414691700908E-2</v>
      </c>
      <c r="G288" s="102">
        <v>-6.1934576337049274E-3</v>
      </c>
      <c r="H288" s="102">
        <v>1.3348294403668108E-3</v>
      </c>
      <c r="I288" s="102">
        <v>1.4741036572065956E-2</v>
      </c>
      <c r="J288" s="102">
        <v>1.758105958798502E-3</v>
      </c>
      <c r="K288" s="102">
        <v>-1.0968171271883433E-2</v>
      </c>
    </row>
    <row r="289" spans="1:11" x14ac:dyDescent="0.3">
      <c r="A289" s="4">
        <v>44725</v>
      </c>
      <c r="B289" s="102">
        <v>2.3891896301143057E-4</v>
      </c>
      <c r="C289" s="102">
        <v>1.4304133144521093E-4</v>
      </c>
      <c r="D289" s="102">
        <v>-1.4351485002614662E-3</v>
      </c>
      <c r="E289" s="102">
        <v>2.0293119502385198E-2</v>
      </c>
      <c r="F289" s="102">
        <v>-2.2744228471479881E-2</v>
      </c>
      <c r="G289" s="102">
        <v>-8.2020340314312018E-3</v>
      </c>
      <c r="H289" s="102">
        <v>2.4227927569805668E-3</v>
      </c>
      <c r="I289" s="102">
        <v>4.7114808735235214E-3</v>
      </c>
      <c r="J289" s="102">
        <v>4.7631321089776886E-3</v>
      </c>
      <c r="K289" s="102">
        <v>-1.2156088977523816E-2</v>
      </c>
    </row>
    <row r="290" spans="1:11" x14ac:dyDescent="0.3">
      <c r="A290" s="4">
        <v>44726</v>
      </c>
      <c r="B290" s="102">
        <v>-4.7756038820107281E-3</v>
      </c>
      <c r="C290" s="102">
        <v>-3.075882433517336E-3</v>
      </c>
      <c r="D290" s="102">
        <v>4.7421246223574298E-3</v>
      </c>
      <c r="E290" s="102">
        <v>-1.9173399067944918E-2</v>
      </c>
      <c r="F290" s="102">
        <v>-1.6024432314904098E-2</v>
      </c>
      <c r="G290" s="102">
        <v>5.8538842099760333E-2</v>
      </c>
      <c r="H290" s="102">
        <v>2.5024015534033661E-3</v>
      </c>
      <c r="I290" s="102">
        <v>-3.9078424476489534E-3</v>
      </c>
      <c r="J290" s="102">
        <v>-5.3643858931709393E-3</v>
      </c>
      <c r="K290" s="102">
        <v>-1.5112284110535413E-2</v>
      </c>
    </row>
    <row r="291" spans="1:11" x14ac:dyDescent="0.3">
      <c r="A291" s="4">
        <v>44727</v>
      </c>
      <c r="B291" s="102">
        <v>-1.5355069040010178E-2</v>
      </c>
      <c r="C291" s="102">
        <v>-3.5865903828940501E-4</v>
      </c>
      <c r="D291" s="102">
        <v>-3.6960497319203749E-3</v>
      </c>
      <c r="E291" s="102">
        <v>1.0139090593878493E-2</v>
      </c>
      <c r="F291" s="102">
        <v>1.8999616620132879E-2</v>
      </c>
      <c r="G291" s="102">
        <v>-1.8831840523196003E-2</v>
      </c>
      <c r="H291" s="102">
        <v>1.2514876334606252E-3</v>
      </c>
      <c r="I291" s="102">
        <v>-1.7261634237541935E-2</v>
      </c>
      <c r="J291" s="102">
        <v>-4.1389343238453467E-3</v>
      </c>
      <c r="K291" s="102">
        <v>2.1920210914515802E-2</v>
      </c>
    </row>
    <row r="292" spans="1:11" x14ac:dyDescent="0.3">
      <c r="A292" s="4">
        <v>44728</v>
      </c>
      <c r="B292" s="102">
        <v>1.8518549397224204E-2</v>
      </c>
      <c r="C292" s="102">
        <v>6.0291077156305198E-3</v>
      </c>
      <c r="D292" s="102">
        <v>4.372978439748652E-3</v>
      </c>
      <c r="E292" s="102">
        <v>-5.1792649818851681E-3</v>
      </c>
      <c r="F292" s="102">
        <v>5.4033484203578522E-2</v>
      </c>
      <c r="G292" s="102">
        <v>4.2211348215340332E-2</v>
      </c>
      <c r="H292" s="102">
        <v>-3.3649163198441138E-3</v>
      </c>
      <c r="I292" s="102">
        <v>4.3911977612301157E-3</v>
      </c>
      <c r="J292" s="102">
        <v>1.3350203559408767E-2</v>
      </c>
      <c r="K292" s="102">
        <v>1.4371557579827419E-2</v>
      </c>
    </row>
    <row r="293" spans="1:11" x14ac:dyDescent="0.3">
      <c r="A293" s="4">
        <v>44729</v>
      </c>
      <c r="B293" s="102">
        <v>1.0287023113139991E-2</v>
      </c>
      <c r="C293" s="102">
        <v>3.2107455785965609E-3</v>
      </c>
      <c r="D293" s="102">
        <v>2.9025641232059598E-4</v>
      </c>
      <c r="E293" s="102">
        <v>-5.0286526581407733E-2</v>
      </c>
      <c r="F293" s="102">
        <v>2.1660668991069971E-3</v>
      </c>
      <c r="G293" s="102">
        <v>-2.5755659096405415E-2</v>
      </c>
      <c r="H293" s="102">
        <v>-1.8111608515873569E-3</v>
      </c>
      <c r="I293" s="102">
        <v>-2.7027020424068328E-2</v>
      </c>
      <c r="J293" s="102">
        <v>2.9828045730985451E-3</v>
      </c>
      <c r="K293" s="102">
        <v>1.0784478520099906E-2</v>
      </c>
    </row>
    <row r="294" spans="1:11" x14ac:dyDescent="0.3">
      <c r="A294" s="4">
        <v>44732</v>
      </c>
      <c r="B294" s="102">
        <v>9.235092580859694E-3</v>
      </c>
      <c r="C294" s="102">
        <v>-6.4008374413091693E-3</v>
      </c>
      <c r="D294" s="102">
        <v>2.0471835763245523E-2</v>
      </c>
      <c r="E294" s="102">
        <v>-1.0326386018200313E-2</v>
      </c>
      <c r="F294" s="102">
        <v>8.2853217465716431E-3</v>
      </c>
      <c r="G294" s="102">
        <v>-3.989450872830487E-2</v>
      </c>
      <c r="H294" s="102">
        <v>2.0267031838412009E-3</v>
      </c>
      <c r="I294" s="102">
        <v>1.6340062116090796E-3</v>
      </c>
      <c r="J294" s="102">
        <v>-4.0891847752149123E-3</v>
      </c>
      <c r="K294" s="102">
        <v>-5.230125632429407E-3</v>
      </c>
    </row>
    <row r="295" spans="1:11" x14ac:dyDescent="0.3">
      <c r="A295" s="4">
        <v>44733</v>
      </c>
      <c r="B295" s="102">
        <v>-1.3608558286832289E-2</v>
      </c>
      <c r="C295" s="102">
        <v>7.7304410867274458E-3</v>
      </c>
      <c r="D295" s="102">
        <v>2.1305249024659651E-2</v>
      </c>
      <c r="E295" s="102">
        <v>5.5825707567731581E-4</v>
      </c>
      <c r="F295" s="102">
        <v>3.572661029882576E-3</v>
      </c>
      <c r="G295" s="102">
        <v>-3.2706720275113607E-2</v>
      </c>
      <c r="H295" s="102">
        <v>8.0972489852813986E-4</v>
      </c>
      <c r="I295" s="102">
        <v>1.957587818621663E-2</v>
      </c>
      <c r="J295" s="102">
        <v>1.7642641830546205E-2</v>
      </c>
      <c r="K295" s="102">
        <v>-1.7455268505894107E-2</v>
      </c>
    </row>
    <row r="296" spans="1:11" x14ac:dyDescent="0.3">
      <c r="A296" s="4">
        <v>44734</v>
      </c>
      <c r="B296" s="102">
        <v>-8.8012453456090423E-3</v>
      </c>
      <c r="C296" s="102">
        <v>2.91212941186718E-3</v>
      </c>
      <c r="D296" s="102">
        <v>7.3362926692553104E-3</v>
      </c>
      <c r="E296" s="102">
        <v>-1.7380496388487404E-2</v>
      </c>
      <c r="F296" s="102">
        <v>-4.2719868604210263E-3</v>
      </c>
      <c r="G296" s="102">
        <v>-3.4992701254010314E-2</v>
      </c>
      <c r="H296" s="102">
        <v>2.1131400441745749E-3</v>
      </c>
      <c r="I296" s="102">
        <v>9.5999489895397267E-3</v>
      </c>
      <c r="J296" s="102">
        <v>-2.2133720186353532E-3</v>
      </c>
      <c r="K296" s="102">
        <v>5.0727717236136186E-2</v>
      </c>
    </row>
    <row r="297" spans="1:11" x14ac:dyDescent="0.3">
      <c r="A297" s="4">
        <v>44735</v>
      </c>
      <c r="B297" s="102">
        <v>-1.7518525405422619E-2</v>
      </c>
      <c r="C297" s="102">
        <v>-1.0835744494012938E-2</v>
      </c>
      <c r="D297" s="102">
        <v>7.0066419882599028E-3</v>
      </c>
      <c r="E297" s="102">
        <v>-6.4638139838982603E-3</v>
      </c>
      <c r="F297" s="102">
        <v>-9.6531737026057975E-3</v>
      </c>
      <c r="G297" s="102">
        <v>1.3182580408250492E-2</v>
      </c>
      <c r="H297" s="102">
        <v>-5.4505566380975783E-4</v>
      </c>
      <c r="I297" s="102">
        <v>3.5658005908486877E-3</v>
      </c>
      <c r="J297" s="102">
        <v>-1.2322167820874635E-3</v>
      </c>
      <c r="K297" s="102">
        <v>-1.6297005500101923E-3</v>
      </c>
    </row>
    <row r="298" spans="1:11" x14ac:dyDescent="0.3">
      <c r="A298" s="4">
        <v>44736</v>
      </c>
      <c r="B298" s="102">
        <v>8.3048104382666237E-3</v>
      </c>
      <c r="C298" s="102">
        <v>1.6467364789992858E-3</v>
      </c>
      <c r="D298" s="102">
        <v>-1.6262815440624839E-3</v>
      </c>
      <c r="E298" s="102">
        <v>-4.3079405499357485E-3</v>
      </c>
      <c r="F298" s="102">
        <v>-9.0252671022932954E-3</v>
      </c>
      <c r="G298" s="102">
        <v>7.1466211774532856E-2</v>
      </c>
      <c r="H298" s="102">
        <v>-3.7833858235501191E-4</v>
      </c>
      <c r="I298" s="102">
        <v>-3.5925808560622378E-2</v>
      </c>
      <c r="J298" s="102">
        <v>-1.5545924438153832E-2</v>
      </c>
      <c r="K298" s="102">
        <v>-6.5292596012756984E-3</v>
      </c>
    </row>
    <row r="299" spans="1:11" x14ac:dyDescent="0.3">
      <c r="A299" s="4">
        <v>44739</v>
      </c>
      <c r="B299" s="102">
        <v>1.3323659072788947E-2</v>
      </c>
      <c r="C299" s="102">
        <v>-1.4224273491409615E-2</v>
      </c>
      <c r="D299" s="102">
        <v>3.7471388573270432E-2</v>
      </c>
      <c r="E299" s="102">
        <v>-2.7460013822388073E-2</v>
      </c>
      <c r="F299" s="102">
        <v>5.464450075318694E-3</v>
      </c>
      <c r="G299" s="102">
        <v>4.8959926558019479E-2</v>
      </c>
      <c r="H299" s="102">
        <v>2.8300889602666027E-4</v>
      </c>
      <c r="I299" s="102">
        <v>-1.7199031526649367E-2</v>
      </c>
      <c r="J299" s="102">
        <v>-6.3918836368437931E-3</v>
      </c>
      <c r="K299" s="102">
        <v>-1.5198151883305644E-2</v>
      </c>
    </row>
    <row r="300" spans="1:11" x14ac:dyDescent="0.3">
      <c r="A300" s="4">
        <v>44740</v>
      </c>
      <c r="B300" s="102">
        <v>-3.0839111758664349E-2</v>
      </c>
      <c r="C300" s="102">
        <v>3.4080050926148732E-3</v>
      </c>
      <c r="D300" s="102">
        <v>8.1681920880533609E-3</v>
      </c>
      <c r="E300" s="102">
        <v>-4.1309562284713598E-3</v>
      </c>
      <c r="F300" s="102">
        <v>1.1594260944111751E-2</v>
      </c>
      <c r="G300" s="102">
        <v>-1.7112865540036062E-2</v>
      </c>
      <c r="H300" s="102">
        <v>1.2067084810470597E-3</v>
      </c>
      <c r="I300" s="102">
        <v>3.208336052806024E-2</v>
      </c>
      <c r="J300" s="102">
        <v>-9.0817455761165143E-3</v>
      </c>
      <c r="K300" s="102">
        <v>2.273201203895692E-2</v>
      </c>
    </row>
    <row r="301" spans="1:11" x14ac:dyDescent="0.3">
      <c r="A301" s="4">
        <v>44741</v>
      </c>
      <c r="B301" s="102">
        <v>1.430687915237472E-2</v>
      </c>
      <c r="C301" s="102">
        <v>-3.5409185273071425E-3</v>
      </c>
      <c r="D301" s="102">
        <v>1.200528349064829E-2</v>
      </c>
      <c r="E301" s="102">
        <v>-5.7889824251323033E-3</v>
      </c>
      <c r="F301" s="102">
        <v>9.6704603550575325E-3</v>
      </c>
      <c r="G301" s="102">
        <v>-0.12317361531729824</v>
      </c>
      <c r="H301" s="102">
        <v>-3.6464043252960356E-3</v>
      </c>
      <c r="I301" s="102">
        <v>-6.4593788545619446E-3</v>
      </c>
      <c r="J301" s="102">
        <v>2.6732151168452757E-3</v>
      </c>
      <c r="K301" s="102">
        <v>-2.3042434277274995E-2</v>
      </c>
    </row>
    <row r="302" spans="1:11" x14ac:dyDescent="0.3">
      <c r="A302" s="4">
        <v>44742</v>
      </c>
      <c r="B302" s="102">
        <v>2.1887840074839037E-3</v>
      </c>
      <c r="C302" s="102">
        <v>1.2618500988045105E-2</v>
      </c>
      <c r="D302" s="102">
        <v>6.2204149352437458E-3</v>
      </c>
      <c r="E302" s="102">
        <v>-4.6766439413439007E-3</v>
      </c>
      <c r="F302" s="102">
        <v>1.5963087012544862E-2</v>
      </c>
      <c r="G302" s="102">
        <v>2.0674342324783435E-2</v>
      </c>
      <c r="H302" s="102">
        <v>1.705149277447358E-3</v>
      </c>
      <c r="I302" s="102">
        <v>-4.469707420908282E-3</v>
      </c>
      <c r="J302" s="102">
        <v>1.3329996221054803E-2</v>
      </c>
      <c r="K302" s="102">
        <v>1.2523439782926455E-2</v>
      </c>
    </row>
    <row r="303" spans="1:11" x14ac:dyDescent="0.3">
      <c r="A303" s="4">
        <v>44743</v>
      </c>
      <c r="B303" s="102">
        <v>-6.7945048369678048E-3</v>
      </c>
      <c r="C303" s="102">
        <v>2.005536751876797E-3</v>
      </c>
      <c r="D303" s="102">
        <v>1.4628804601138507E-2</v>
      </c>
      <c r="E303" s="102">
        <v>7.830933683592058E-3</v>
      </c>
      <c r="F303" s="102">
        <v>-6.6340728597170575E-3</v>
      </c>
      <c r="G303" s="102">
        <v>-3.8260534921087976E-2</v>
      </c>
      <c r="H303" s="102">
        <v>-3.9059568400297328E-3</v>
      </c>
      <c r="I303" s="102">
        <v>0</v>
      </c>
      <c r="J303" s="102">
        <v>1.1024714678683621E-2</v>
      </c>
      <c r="K303" s="102">
        <v>-3.1539848754477504E-2</v>
      </c>
    </row>
    <row r="304" spans="1:11" x14ac:dyDescent="0.3">
      <c r="A304" s="4">
        <v>44746</v>
      </c>
      <c r="B304" s="102">
        <v>2.4432237431280509E-3</v>
      </c>
      <c r="C304" s="102">
        <v>1.579571474228476E-2</v>
      </c>
      <c r="D304" s="102">
        <v>-2.9892534633476367E-4</v>
      </c>
      <c r="E304" s="102">
        <v>-2.102480220596057E-2</v>
      </c>
      <c r="F304" s="102">
        <v>8.7873426865707482E-3</v>
      </c>
      <c r="G304" s="102">
        <v>-1.757097052139794E-2</v>
      </c>
      <c r="H304" s="102">
        <v>1.2191906081226126E-3</v>
      </c>
      <c r="I304" s="102">
        <v>-8.1639882813903724E-4</v>
      </c>
      <c r="J304" s="102">
        <v>4.5848927622159589E-3</v>
      </c>
      <c r="K304" s="102">
        <v>-3.1502767134950982E-2</v>
      </c>
    </row>
    <row r="305" spans="1:11" x14ac:dyDescent="0.3">
      <c r="A305" s="4">
        <v>44747</v>
      </c>
      <c r="B305" s="102">
        <v>1.7059644391273887E-3</v>
      </c>
      <c r="C305" s="102">
        <v>-9.8509061522817579E-3</v>
      </c>
      <c r="D305" s="102">
        <v>2.0631448842341086E-2</v>
      </c>
      <c r="E305" s="102">
        <v>4.9023530466194764E-3</v>
      </c>
      <c r="F305" s="102">
        <v>-3.484209911103869E-4</v>
      </c>
      <c r="G305" s="102">
        <v>-3.0562424558420426E-2</v>
      </c>
      <c r="H305" s="102">
        <v>3.4444661077533824E-3</v>
      </c>
      <c r="I305" s="102">
        <v>-4.9018930869044403E-3</v>
      </c>
      <c r="J305" s="102">
        <v>2.4677539747153569E-4</v>
      </c>
      <c r="K305" s="102">
        <v>-2.6593384615384689E-2</v>
      </c>
    </row>
    <row r="306" spans="1:11" x14ac:dyDescent="0.3">
      <c r="A306" s="4">
        <v>44748</v>
      </c>
      <c r="B306" s="102">
        <v>-1.0948867636501635E-2</v>
      </c>
      <c r="C306" s="102">
        <v>-8.5263875336572209E-4</v>
      </c>
      <c r="D306" s="102">
        <v>2.5929335368758614E-3</v>
      </c>
      <c r="E306" s="102">
        <v>-3.3451163470543159E-2</v>
      </c>
      <c r="F306" s="102">
        <v>-4.5311882516808214E-3</v>
      </c>
      <c r="G306" s="102">
        <v>-2.5820215430205585E-3</v>
      </c>
      <c r="H306" s="102">
        <v>1.0771748022906427E-3</v>
      </c>
      <c r="I306" s="102">
        <v>-9.4418290154573651E-3</v>
      </c>
      <c r="J306" s="102">
        <v>2.8363602239040095E-3</v>
      </c>
      <c r="K306" s="102">
        <v>-2.0997967464484811E-2</v>
      </c>
    </row>
    <row r="307" spans="1:11" x14ac:dyDescent="0.3">
      <c r="A307" s="4">
        <v>44749</v>
      </c>
      <c r="B307" s="102">
        <v>-3.4440536974967399E-3</v>
      </c>
      <c r="C307" s="102">
        <v>7.1402219579685166E-3</v>
      </c>
      <c r="D307" s="102">
        <v>1.6288573868091204E-3</v>
      </c>
      <c r="E307" s="102">
        <v>4.3261388038164771E-3</v>
      </c>
      <c r="F307" s="102">
        <v>-1.5056024380298487E-2</v>
      </c>
      <c r="G307" s="102">
        <v>-1.0271427974947768E-2</v>
      </c>
      <c r="H307" s="102">
        <v>-2.8739154714720388E-3</v>
      </c>
      <c r="I307" s="102">
        <v>-2.3207603316297464E-2</v>
      </c>
      <c r="J307" s="102">
        <v>1.2174012023091195E-2</v>
      </c>
      <c r="K307" s="102">
        <v>1.6374515305015869E-2</v>
      </c>
    </row>
    <row r="308" spans="1:11" x14ac:dyDescent="0.3">
      <c r="A308" s="4">
        <v>44750</v>
      </c>
      <c r="B308" s="102">
        <v>-2.468375601278005E-4</v>
      </c>
      <c r="C308" s="102">
        <v>-6.0261807829942761E-3</v>
      </c>
      <c r="D308" s="102">
        <v>-4.6117000580468553E-3</v>
      </c>
      <c r="E308" s="102">
        <v>-4.4510640121298356E-3</v>
      </c>
      <c r="F308" s="102">
        <v>1.3864179478937887E-2</v>
      </c>
      <c r="G308" s="102">
        <v>9.9983592220236721E-3</v>
      </c>
      <c r="H308" s="102">
        <v>-3.4661512403015662E-3</v>
      </c>
      <c r="I308" s="102">
        <v>1.4000916416981755E-2</v>
      </c>
      <c r="J308" s="102">
        <v>-1.5792688494749429E-3</v>
      </c>
      <c r="K308" s="102">
        <v>1.0437916950306245E-2</v>
      </c>
    </row>
    <row r="309" spans="1:11" x14ac:dyDescent="0.3">
      <c r="A309" s="4">
        <v>44753</v>
      </c>
      <c r="B309" s="102">
        <v>7.0885267079331604E-3</v>
      </c>
      <c r="C309" s="102">
        <v>4.4224032861846074E-3</v>
      </c>
      <c r="D309" s="102">
        <v>3.8224648719039109E-3</v>
      </c>
      <c r="E309" s="102">
        <v>-5.720794540930013E-3</v>
      </c>
      <c r="F309" s="102">
        <v>-1.9284718699294916E-2</v>
      </c>
      <c r="G309" s="102">
        <v>-4.6781658296952355E-2</v>
      </c>
      <c r="H309" s="102">
        <v>-3.5810113872735551E-3</v>
      </c>
      <c r="I309" s="102">
        <v>-5.4392980993319406E-3</v>
      </c>
      <c r="J309" s="102">
        <v>1.4115289184256198E-2</v>
      </c>
      <c r="K309" s="102">
        <v>-3.0990276914221265E-2</v>
      </c>
    </row>
    <row r="310" spans="1:11" x14ac:dyDescent="0.3">
      <c r="A310" s="4">
        <v>44754</v>
      </c>
      <c r="B310" s="102">
        <v>-1.935640645087797E-2</v>
      </c>
      <c r="C310" s="102">
        <v>-9.0187861761822415E-3</v>
      </c>
      <c r="D310" s="102">
        <v>-1.0933169633015696E-3</v>
      </c>
      <c r="E310" s="102">
        <v>-6.0439294675729248E-3</v>
      </c>
      <c r="F310" s="102">
        <v>-1.6803675354602102E-2</v>
      </c>
      <c r="G310" s="102">
        <v>-8.7643834128617662E-4</v>
      </c>
      <c r="H310" s="102">
        <v>1.3584526708211658E-3</v>
      </c>
      <c r="I310" s="102">
        <v>5.4690458701385442E-3</v>
      </c>
      <c r="J310" s="102">
        <v>-1.0799048211944598E-2</v>
      </c>
      <c r="K310" s="102">
        <v>1.2282687727337743E-2</v>
      </c>
    </row>
    <row r="311" spans="1:11" x14ac:dyDescent="0.3">
      <c r="A311" s="4">
        <v>44755</v>
      </c>
      <c r="B311" s="102">
        <v>1.2560907309421662E-2</v>
      </c>
      <c r="C311" s="102">
        <v>-2.5868830127301047E-2</v>
      </c>
      <c r="D311" s="102">
        <v>1.3370866788207745E-3</v>
      </c>
      <c r="E311" s="102">
        <v>6.3725076872243464E-3</v>
      </c>
      <c r="F311" s="102">
        <v>5.4545146376367972E-3</v>
      </c>
      <c r="G311" s="102">
        <v>-1.0569663843025811E-2</v>
      </c>
      <c r="H311" s="102">
        <v>4.3342823877706178E-3</v>
      </c>
      <c r="I311" s="102">
        <v>-1.8410087001593193E-2</v>
      </c>
      <c r="J311" s="102">
        <v>-4.7306968097783368E-3</v>
      </c>
      <c r="K311" s="102">
        <v>-5.6547641941391856E-2</v>
      </c>
    </row>
    <row r="312" spans="1:11" x14ac:dyDescent="0.3">
      <c r="A312" s="4">
        <v>44756</v>
      </c>
      <c r="B312" s="102">
        <v>1.0126576445283654E-2</v>
      </c>
      <c r="C312" s="102">
        <v>1.691932357151375E-2</v>
      </c>
      <c r="D312" s="102">
        <v>1.273082311843667E-3</v>
      </c>
      <c r="E312" s="102">
        <v>-8.2657372319194389E-3</v>
      </c>
      <c r="F312" s="102">
        <v>5.0633429289956219E-3</v>
      </c>
      <c r="G312" s="102">
        <v>-3.7810278249726659E-2</v>
      </c>
      <c r="H312" s="102">
        <v>4.1719528500935231E-4</v>
      </c>
      <c r="I312" s="102">
        <v>-1.1082628350808591E-2</v>
      </c>
      <c r="J312" s="102">
        <v>1.4746952954073017E-2</v>
      </c>
      <c r="K312" s="102">
        <v>1.8684809965658904E-2</v>
      </c>
    </row>
    <row r="313" spans="1:11" x14ac:dyDescent="0.3">
      <c r="A313" s="4">
        <v>44757</v>
      </c>
      <c r="B313" s="102">
        <v>3.2580738077866603E-3</v>
      </c>
      <c r="C313" s="102">
        <v>9.2591368651812472E-3</v>
      </c>
      <c r="D313" s="102">
        <v>-1.7987731612633659E-4</v>
      </c>
      <c r="E313" s="102">
        <v>2.7538239299821667E-2</v>
      </c>
      <c r="F313" s="102">
        <v>-2.2670079858030583E-2</v>
      </c>
      <c r="G313" s="102">
        <v>3.0036342146522385E-2</v>
      </c>
      <c r="H313" s="102">
        <v>2.4918732118501719E-3</v>
      </c>
      <c r="I313" s="102">
        <v>-9.0517752625052638E-3</v>
      </c>
      <c r="J313" s="102">
        <v>3.6031663601893069E-3</v>
      </c>
      <c r="K313" s="102">
        <v>3.6922320152453544E-2</v>
      </c>
    </row>
    <row r="314" spans="1:11" x14ac:dyDescent="0.3">
      <c r="A314" s="4">
        <v>44760</v>
      </c>
      <c r="B314" s="102">
        <v>1.8985852256097328E-2</v>
      </c>
      <c r="C314" s="102">
        <v>-4.5155541255081288E-3</v>
      </c>
      <c r="D314" s="102">
        <v>-4.3421774311343931E-4</v>
      </c>
      <c r="E314" s="102">
        <v>-9.676648536801816E-3</v>
      </c>
      <c r="F314" s="102">
        <v>1.8041241601299478E-2</v>
      </c>
      <c r="G314" s="102">
        <v>-1.1628158891330989E-3</v>
      </c>
      <c r="H314" s="102">
        <v>-2.7550463720675271E-3</v>
      </c>
      <c r="I314" s="102">
        <v>-2.9578069884967383E-2</v>
      </c>
      <c r="J314" s="102">
        <v>-1.195322877092621E-4</v>
      </c>
      <c r="K314" s="102">
        <v>-2.2513209798143963E-2</v>
      </c>
    </row>
    <row r="315" spans="1:11" x14ac:dyDescent="0.3">
      <c r="A315" s="4">
        <v>44761</v>
      </c>
      <c r="B315" s="102">
        <v>-1.8877146069780776E-2</v>
      </c>
      <c r="C315" s="102">
        <v>2.1743973381292837E-2</v>
      </c>
      <c r="D315" s="102">
        <v>4.6545735088476846E-4</v>
      </c>
      <c r="E315" s="102">
        <v>5.4125054654071813E-3</v>
      </c>
      <c r="F315" s="102">
        <v>-1.0488196449517057E-2</v>
      </c>
      <c r="G315" s="102">
        <v>-1.0477754798032066E-2</v>
      </c>
      <c r="H315" s="102">
        <v>4.0995377335266096E-3</v>
      </c>
      <c r="I315" s="102">
        <v>4.9305021992836129E-3</v>
      </c>
      <c r="J315" s="102">
        <v>-5.2664917398242243E-3</v>
      </c>
      <c r="K315" s="102">
        <v>7.2855935907306891E-3</v>
      </c>
    </row>
    <row r="316" spans="1:11" x14ac:dyDescent="0.3">
      <c r="A316" s="4">
        <v>44762</v>
      </c>
      <c r="B316" s="102">
        <v>1.1993970304639872E-2</v>
      </c>
      <c r="C316" s="102">
        <v>7.0390763949929028E-5</v>
      </c>
      <c r="D316" s="102">
        <v>2.5806562294340188E-3</v>
      </c>
      <c r="E316" s="102">
        <v>-5.5738225304672864E-3</v>
      </c>
      <c r="F316" s="102">
        <v>2.2295257227771502E-2</v>
      </c>
      <c r="G316" s="102">
        <v>-3.0770939165325108E-3</v>
      </c>
      <c r="H316" s="102">
        <v>-1.1203012895383735E-3</v>
      </c>
      <c r="I316" s="102">
        <v>-6.6903626243713836E-3</v>
      </c>
      <c r="J316" s="102">
        <v>1.2032562416192769E-3</v>
      </c>
      <c r="K316" s="102">
        <v>-2.6831590601222654E-2</v>
      </c>
    </row>
    <row r="317" spans="1:11" x14ac:dyDescent="0.3">
      <c r="A317" s="4">
        <v>44763</v>
      </c>
      <c r="B317" s="102">
        <v>1.8518551348294075E-2</v>
      </c>
      <c r="C317" s="102">
        <v>3.5231776425238871E-3</v>
      </c>
      <c r="D317" s="102">
        <v>1.3984274104547191E-3</v>
      </c>
      <c r="E317" s="102">
        <v>1.6048575983704676E-2</v>
      </c>
      <c r="F317" s="102">
        <v>2.0379031291287202E-2</v>
      </c>
      <c r="G317" s="102">
        <v>3.7991898125295194E-2</v>
      </c>
      <c r="H317" s="102">
        <v>1.731767015974519E-3</v>
      </c>
      <c r="I317" s="102">
        <v>6.8702209660121819E-2</v>
      </c>
      <c r="J317" s="102">
        <v>1.0575664690019141E-2</v>
      </c>
      <c r="K317" s="102">
        <v>-4.5552386611181703E-3</v>
      </c>
    </row>
    <row r="318" spans="1:11" x14ac:dyDescent="0.3">
      <c r="A318" s="4">
        <v>44764</v>
      </c>
      <c r="B318" s="102">
        <v>3.1515119749472867E-2</v>
      </c>
      <c r="C318" s="102">
        <v>-4.7044909000910498E-3</v>
      </c>
      <c r="D318" s="102">
        <v>-1.2365304332859621E-4</v>
      </c>
      <c r="E318" s="102">
        <v>-7.0721797619199551E-4</v>
      </c>
      <c r="F318" s="102">
        <v>-1.4015452018634989E-2</v>
      </c>
      <c r="G318" s="102">
        <v>2.0115708154669781E-3</v>
      </c>
      <c r="H318" s="102">
        <v>7.622936872554092E-4</v>
      </c>
      <c r="I318" s="102">
        <v>-4.4958007663818196E-2</v>
      </c>
      <c r="J318" s="102">
        <v>1.6650709334023754E-3</v>
      </c>
      <c r="K318" s="102">
        <v>5.1782225433525925E-2</v>
      </c>
    </row>
    <row r="319" spans="1:11" x14ac:dyDescent="0.3">
      <c r="A319" s="4">
        <v>44767</v>
      </c>
      <c r="B319" s="102">
        <v>1.6216212619177751E-2</v>
      </c>
      <c r="C319" s="102">
        <v>7.0686038142116317E-5</v>
      </c>
      <c r="D319" s="102">
        <v>1.7674244267060913E-3</v>
      </c>
      <c r="E319" s="102">
        <v>1.2833868764304602E-2</v>
      </c>
      <c r="F319" s="102">
        <v>-1.4214607517405126E-2</v>
      </c>
      <c r="G319" s="102">
        <v>2.1471585150875463E-2</v>
      </c>
      <c r="H319" s="102">
        <v>1.169773594401371E-3</v>
      </c>
      <c r="I319" s="102">
        <v>5.2353761713077887E-2</v>
      </c>
      <c r="J319" s="102">
        <v>2.0182185103978065E-3</v>
      </c>
      <c r="K319" s="102">
        <v>5.2668653660117182E-3</v>
      </c>
    </row>
    <row r="320" spans="1:11" x14ac:dyDescent="0.3">
      <c r="A320" s="4">
        <v>44768</v>
      </c>
      <c r="B320" s="102">
        <v>1.1563886697015715E-3</v>
      </c>
      <c r="C320" s="102">
        <v>4.0913288834344428E-3</v>
      </c>
      <c r="D320" s="102">
        <v>-4.6271047533012104E-4</v>
      </c>
      <c r="E320" s="102">
        <v>1.1087360456370196E-2</v>
      </c>
      <c r="F320" s="102">
        <v>0</v>
      </c>
      <c r="G320" s="102">
        <v>1.1535490998337939E-2</v>
      </c>
      <c r="H320" s="102">
        <v>2.9278101203051689E-3</v>
      </c>
      <c r="I320" s="102">
        <v>2.0066869005404307E-2</v>
      </c>
      <c r="J320" s="102">
        <v>2.2511192004376485E-3</v>
      </c>
      <c r="K320" s="102">
        <v>-1.3667493682574342E-2</v>
      </c>
    </row>
    <row r="321" spans="1:11" x14ac:dyDescent="0.3">
      <c r="A321" s="4">
        <v>44769</v>
      </c>
      <c r="B321" s="102">
        <v>1.293586454218151E-2</v>
      </c>
      <c r="C321" s="102">
        <v>-1.1942531138603358E-3</v>
      </c>
      <c r="D321" s="102">
        <v>3.2648413937734441E-3</v>
      </c>
      <c r="E321" s="102">
        <v>-2.2116115168382116E-3</v>
      </c>
      <c r="F321" s="102">
        <v>-8.6517739174369734E-3</v>
      </c>
      <c r="G321" s="102">
        <v>6.8846259267744342E-3</v>
      </c>
      <c r="H321" s="102">
        <v>2.2385532376050618E-3</v>
      </c>
      <c r="I321" s="102">
        <v>-4.9180278310994863E-2</v>
      </c>
      <c r="J321" s="102">
        <v>-1.8914676163975454E-3</v>
      </c>
      <c r="K321" s="102">
        <v>6.6974828336601976E-3</v>
      </c>
    </row>
    <row r="322" spans="1:11" x14ac:dyDescent="0.3">
      <c r="A322" s="4">
        <v>44770</v>
      </c>
      <c r="B322" s="102">
        <v>-6.6133652382408979E-3</v>
      </c>
      <c r="C322" s="102">
        <v>-3.3763431508172601E-3</v>
      </c>
      <c r="D322" s="102">
        <v>3.315694499601608E-3</v>
      </c>
      <c r="E322" s="102">
        <v>6.2337937658076175E-3</v>
      </c>
      <c r="F322" s="102">
        <v>1.8181810357696847E-2</v>
      </c>
      <c r="G322" s="102">
        <v>7.8442720241800688E-3</v>
      </c>
      <c r="H322" s="102">
        <v>3.0715581822052512E-3</v>
      </c>
      <c r="I322" s="102">
        <v>1.9827532074994398E-2</v>
      </c>
      <c r="J322" s="102">
        <v>-8.7646644712372421E-3</v>
      </c>
      <c r="K322" s="102">
        <v>2.982333103922917E-2</v>
      </c>
    </row>
    <row r="323" spans="1:11" x14ac:dyDescent="0.3">
      <c r="A323" s="4">
        <v>44771</v>
      </c>
      <c r="B323" s="102">
        <v>2.9843469895360071E-3</v>
      </c>
      <c r="C323" s="102">
        <v>2.3996722394680281E-3</v>
      </c>
      <c r="D323" s="102">
        <v>-6.8669747146039208E-3</v>
      </c>
      <c r="E323" s="102">
        <v>1.496034678042242E-2</v>
      </c>
      <c r="F323" s="102">
        <v>2.8571221053425239E-3</v>
      </c>
      <c r="G323" s="102">
        <v>5.4524765972795448E-3</v>
      </c>
      <c r="H323" s="102">
        <v>2.4254674077811415E-4</v>
      </c>
      <c r="I323" s="102">
        <v>1.1834372562361934E-2</v>
      </c>
      <c r="J323" s="102">
        <v>1.0754844586739153E-3</v>
      </c>
      <c r="K323" s="102">
        <v>1.202942775739417E-2</v>
      </c>
    </row>
    <row r="324" spans="1:11" x14ac:dyDescent="0.3">
      <c r="A324" s="4">
        <v>44774</v>
      </c>
      <c r="B324" s="102">
        <v>1.1673232266699994E-2</v>
      </c>
      <c r="C324" s="102">
        <v>-2.6051440448567665E-3</v>
      </c>
      <c r="D324" s="102">
        <v>6.4329114868258638E-3</v>
      </c>
      <c r="E324" s="102">
        <v>-5.8778223990368318E-3</v>
      </c>
      <c r="F324" s="102">
        <v>-1.353275254551699E-2</v>
      </c>
      <c r="G324" s="102">
        <v>6.6228834443009287E-4</v>
      </c>
      <c r="H324" s="102">
        <v>3.1994934696654554E-4</v>
      </c>
      <c r="I324" s="102">
        <v>-8.7719365813942029E-3</v>
      </c>
      <c r="J324" s="102">
        <v>-1.5516853536728483E-2</v>
      </c>
      <c r="K324" s="102">
        <v>2.0691151221659702E-2</v>
      </c>
    </row>
    <row r="325" spans="1:11" x14ac:dyDescent="0.3">
      <c r="A325" s="4">
        <v>44775</v>
      </c>
      <c r="B325" s="102">
        <v>-1.0181040663625031E-2</v>
      </c>
      <c r="C325" s="102">
        <v>-2.188304304912363E-3</v>
      </c>
      <c r="D325" s="102">
        <v>-3.5946315922738663E-3</v>
      </c>
      <c r="E325" s="102">
        <v>-1.3462602228592448E-2</v>
      </c>
      <c r="F325" s="102">
        <v>-2.9602867494659135E-2</v>
      </c>
      <c r="G325" s="102">
        <v>-8.27369392750083E-3</v>
      </c>
      <c r="H325" s="102">
        <v>-2.424103670833688E-3</v>
      </c>
      <c r="I325" s="102">
        <v>-2.1070514774876089E-3</v>
      </c>
      <c r="J325" s="102">
        <v>4.8495000909322709E-3</v>
      </c>
      <c r="K325" s="102">
        <v>1.9409101130237981E-3</v>
      </c>
    </row>
    <row r="326" spans="1:11" x14ac:dyDescent="0.3">
      <c r="A326" s="4">
        <v>44776</v>
      </c>
      <c r="B326" s="102">
        <v>1.1657130409774948E-2</v>
      </c>
      <c r="C326" s="102">
        <v>1.7686383568814225E-3</v>
      </c>
      <c r="D326" s="102">
        <v>2.1916303924407791E-3</v>
      </c>
      <c r="E326" s="102">
        <v>7.4225095534222758E-3</v>
      </c>
      <c r="F326" s="102">
        <v>8.5564944179396737E-3</v>
      </c>
      <c r="G326" s="102">
        <v>-3.14520257198019E-2</v>
      </c>
      <c r="H326" s="102">
        <v>6.2099852512852442E-4</v>
      </c>
      <c r="I326" s="102">
        <v>4.2229577724124043E-3</v>
      </c>
      <c r="J326" s="102">
        <v>1.2910165814478451E-2</v>
      </c>
      <c r="K326" s="102">
        <v>-8.6097720320664939E-4</v>
      </c>
    </row>
    <row r="327" spans="1:11" x14ac:dyDescent="0.3">
      <c r="A327" s="4">
        <v>44777</v>
      </c>
      <c r="B327" s="102">
        <v>2.2819694700412427E-2</v>
      </c>
      <c r="C327" s="102">
        <v>1.7655157979217431E-3</v>
      </c>
      <c r="D327" s="102">
        <v>6.8184237321570226E-4</v>
      </c>
      <c r="E327" s="102">
        <v>5.4457169892505363E-3</v>
      </c>
      <c r="F327" s="102">
        <v>2.7665130030704678E-2</v>
      </c>
      <c r="G327" s="102">
        <v>1.7141117040862078E-2</v>
      </c>
      <c r="H327" s="102">
        <v>5.147041463028002E-3</v>
      </c>
      <c r="I327" s="102">
        <v>-5.8873049988541933E-3</v>
      </c>
      <c r="J327" s="102">
        <v>2.3830951694972697E-4</v>
      </c>
      <c r="K327" s="102">
        <v>-1.055575228590057E-2</v>
      </c>
    </row>
    <row r="328" spans="1:11" x14ac:dyDescent="0.3">
      <c r="A328" s="4">
        <v>44778</v>
      </c>
      <c r="B328" s="102">
        <v>-4.4175993081954233E-4</v>
      </c>
      <c r="C328" s="102">
        <v>-6.6971763892019337E-3</v>
      </c>
      <c r="D328" s="102">
        <v>-4.800433433669639E-3</v>
      </c>
      <c r="E328" s="102">
        <v>-4.5514301246161841E-3</v>
      </c>
      <c r="F328" s="102">
        <v>2.0459422633458183E-2</v>
      </c>
      <c r="G328" s="102">
        <v>2.748023057526551E-2</v>
      </c>
      <c r="H328" s="102">
        <v>5.4361139167870384E-4</v>
      </c>
      <c r="I328" s="102">
        <v>-1.6074401212065381E-2</v>
      </c>
      <c r="J328" s="102">
        <v>-8.3353527844171765E-4</v>
      </c>
      <c r="K328" s="102">
        <v>3.2440627041149576E-2</v>
      </c>
    </row>
    <row r="329" spans="1:11" x14ac:dyDescent="0.3">
      <c r="A329" s="4">
        <v>44781</v>
      </c>
      <c r="B329" s="102">
        <v>-1.1270706033215446E-2</v>
      </c>
      <c r="C329" s="102">
        <v>-7.5939797347731926E-3</v>
      </c>
      <c r="D329" s="102">
        <v>-1.1534617834543287E-3</v>
      </c>
      <c r="E329" s="102">
        <v>3.0176831059709171E-3</v>
      </c>
      <c r="F329" s="102">
        <v>3.8691671699400323E-3</v>
      </c>
      <c r="G329" s="102">
        <v>-6.181859289839251E-4</v>
      </c>
      <c r="H329" s="102">
        <v>-1.740623606075684E-3</v>
      </c>
      <c r="I329" s="102">
        <v>4.2105493115629413E-3</v>
      </c>
      <c r="J329" s="102">
        <v>-1.1561285064538586E-2</v>
      </c>
      <c r="K329" s="102">
        <v>-2.8679819851531833E-2</v>
      </c>
    </row>
    <row r="330" spans="1:11" x14ac:dyDescent="0.3">
      <c r="A330" s="4">
        <v>44782</v>
      </c>
      <c r="B330" s="102">
        <v>-5.3643466136725328E-3</v>
      </c>
      <c r="C330" s="102">
        <v>-5.3635845898309786E-3</v>
      </c>
      <c r="D330" s="102">
        <v>6.4229299165631352E-4</v>
      </c>
      <c r="E330" s="102">
        <v>2.9173719159178708E-3</v>
      </c>
      <c r="F330" s="102">
        <v>6.6573174008374338E-3</v>
      </c>
      <c r="G330" s="102">
        <v>-1.9834225801703586E-2</v>
      </c>
      <c r="H330" s="102">
        <v>3.9879052578531988E-3</v>
      </c>
      <c r="I330" s="102">
        <v>-1.7543421822079079E-3</v>
      </c>
      <c r="J330" s="102">
        <v>-4.4617897819766664E-3</v>
      </c>
      <c r="K330" s="102">
        <v>-4.3204536621699152E-2</v>
      </c>
    </row>
    <row r="331" spans="1:11" x14ac:dyDescent="0.3">
      <c r="A331" s="4">
        <v>44783</v>
      </c>
      <c r="B331" s="102">
        <v>2.9213750276305371E-3</v>
      </c>
      <c r="C331" s="102">
        <v>5.7519677090633594E-3</v>
      </c>
      <c r="D331" s="102">
        <v>8.7019326324662676E-4</v>
      </c>
      <c r="E331" s="102">
        <v>3.499900296764908E-3</v>
      </c>
      <c r="F331" s="102">
        <v>2.2972454549697596E-2</v>
      </c>
      <c r="G331" s="102">
        <v>3.992429583413077E-2</v>
      </c>
      <c r="H331" s="102">
        <v>2.6067722537704376E-3</v>
      </c>
      <c r="I331" s="102">
        <v>-7.0298769771529055E-3</v>
      </c>
      <c r="J331" s="102">
        <v>1.2596903295502027E-2</v>
      </c>
      <c r="K331" s="102">
        <v>-2.4506421601996897E-2</v>
      </c>
    </row>
    <row r="332" spans="1:11" x14ac:dyDescent="0.3">
      <c r="A332" s="4">
        <v>44784</v>
      </c>
      <c r="B332" s="102">
        <v>4.0331704352232966E-3</v>
      </c>
      <c r="C332" s="102">
        <v>6.2195265687614689E-3</v>
      </c>
      <c r="D332" s="102">
        <v>-3.274206591486104E-3</v>
      </c>
      <c r="E332" s="102">
        <v>3.8500656994725859E-3</v>
      </c>
      <c r="F332" s="102">
        <v>-7.8257427312304634E-3</v>
      </c>
      <c r="G332" s="102">
        <v>-1.4280504759249957E-2</v>
      </c>
      <c r="H332" s="102">
        <v>1.0213072733098575E-3</v>
      </c>
      <c r="I332" s="102">
        <v>7.079646017699121E-3</v>
      </c>
      <c r="J332" s="102">
        <v>3.588807902704243E-4</v>
      </c>
      <c r="K332" s="102">
        <v>6.513095765848213E-3</v>
      </c>
    </row>
    <row r="333" spans="1:11" x14ac:dyDescent="0.3">
      <c r="A333" s="4">
        <v>44785</v>
      </c>
      <c r="B333" s="102">
        <v>1.5621447029708028E-3</v>
      </c>
      <c r="C333" s="102">
        <v>-1.3500193007385194E-3</v>
      </c>
      <c r="D333" s="102">
        <v>-3.7055952310995227E-3</v>
      </c>
      <c r="E333" s="102">
        <v>1.2543361036541124E-2</v>
      </c>
      <c r="F333" s="102">
        <v>-7.2016859671876843E-3</v>
      </c>
      <c r="G333" s="102">
        <v>3.2216986255979942E-2</v>
      </c>
      <c r="H333" s="102">
        <v>-9.6024966491294918E-4</v>
      </c>
      <c r="I333" s="102">
        <v>-7.4692442882250305E-3</v>
      </c>
      <c r="J333" s="102">
        <v>-2.6304011736823451E-3</v>
      </c>
      <c r="K333" s="102">
        <v>9.2442338802864923E-3</v>
      </c>
    </row>
    <row r="334" spans="1:11" x14ac:dyDescent="0.3">
      <c r="A334" s="4">
        <v>44788</v>
      </c>
      <c r="B334" s="102">
        <v>-1.9162209947076868E-2</v>
      </c>
      <c r="C334" s="102">
        <v>-3.9840090603409078E-3</v>
      </c>
      <c r="D334" s="102">
        <v>1.60823561362154E-3</v>
      </c>
      <c r="E334" s="102">
        <v>5.2136763632690489E-3</v>
      </c>
      <c r="F334" s="102">
        <v>3.4196888571223806E-2</v>
      </c>
      <c r="G334" s="102">
        <v>-3.4789869881711857E-2</v>
      </c>
      <c r="H334" s="102">
        <v>-3.8613775472742941E-3</v>
      </c>
      <c r="I334" s="102">
        <v>1.4165559982293062E-2</v>
      </c>
      <c r="J334" s="102">
        <v>-1.6786450285598748E-3</v>
      </c>
      <c r="K334" s="102">
        <v>-9.1595607583951928E-3</v>
      </c>
    </row>
    <row r="335" spans="1:11" x14ac:dyDescent="0.3">
      <c r="A335" s="4">
        <v>44789</v>
      </c>
      <c r="B335" s="102">
        <v>3.4074423188039733E-3</v>
      </c>
      <c r="C335" s="102">
        <v>-2.0357142742684794E-2</v>
      </c>
      <c r="D335" s="102">
        <v>1.0483042161655184E-2</v>
      </c>
      <c r="E335" s="102">
        <v>1.462890055505512E-3</v>
      </c>
      <c r="F335" s="102">
        <v>3.6740158810461325E-2</v>
      </c>
      <c r="G335" s="102">
        <v>8.2402374410990291E-5</v>
      </c>
      <c r="H335" s="102">
        <v>4.4660057558873348E-3</v>
      </c>
      <c r="I335" s="102">
        <v>3.0554343081623868E-3</v>
      </c>
      <c r="J335" s="102">
        <v>-1.5851973007530037E-2</v>
      </c>
      <c r="K335" s="102">
        <v>4.3910099376011152E-3</v>
      </c>
    </row>
    <row r="336" spans="1:11" x14ac:dyDescent="0.3">
      <c r="A336" s="4">
        <v>44790</v>
      </c>
      <c r="B336" s="102">
        <v>-8.1502554418429584E-3</v>
      </c>
      <c r="C336" s="102">
        <v>4.156128684767741E-3</v>
      </c>
      <c r="D336" s="102">
        <v>-5.0490980502783415E-3</v>
      </c>
      <c r="E336" s="102">
        <v>-1.7484847982728556E-2</v>
      </c>
      <c r="F336" s="102">
        <v>-6.862110145316061E-2</v>
      </c>
      <c r="G336" s="102">
        <v>1.7835085335839412E-2</v>
      </c>
      <c r="H336" s="102">
        <v>-3.6356359027385189E-4</v>
      </c>
      <c r="I336" s="102">
        <v>2.436906005221931E-2</v>
      </c>
      <c r="J336" s="102">
        <v>5.8572145879283019E-3</v>
      </c>
      <c r="K336" s="102">
        <v>-2.830186443400531E-2</v>
      </c>
    </row>
    <row r="337" spans="1:11" x14ac:dyDescent="0.3">
      <c r="A337" s="4">
        <v>44791</v>
      </c>
      <c r="B337" s="102">
        <v>6.8479207834029534E-4</v>
      </c>
      <c r="C337" s="102">
        <v>-1.8515790726332769E-2</v>
      </c>
      <c r="D337" s="102">
        <v>-3.9463751401507237E-3</v>
      </c>
      <c r="E337" s="102">
        <v>2.0904715146054131E-2</v>
      </c>
      <c r="F337" s="102">
        <v>5.88026687222687E-3</v>
      </c>
      <c r="G337" s="102">
        <v>2.1447857142778198E-3</v>
      </c>
      <c r="H337" s="102">
        <v>-5.7056866677124881E-4</v>
      </c>
      <c r="I337" s="102">
        <v>8.9209426966464361E-3</v>
      </c>
      <c r="J337" s="102">
        <v>-1.7105434947266861E-2</v>
      </c>
      <c r="K337" s="102">
        <v>7.5775278238219947E-3</v>
      </c>
    </row>
    <row r="338" spans="1:11" x14ac:dyDescent="0.3">
      <c r="A338" s="4">
        <v>44792</v>
      </c>
      <c r="B338" s="102">
        <v>-9.5803900258500524E-3</v>
      </c>
      <c r="C338" s="102">
        <v>9.0996954086793279E-3</v>
      </c>
      <c r="D338" s="102">
        <v>3.5596075802407437E-3</v>
      </c>
      <c r="E338" s="102">
        <v>4.4571630390933519E-3</v>
      </c>
      <c r="F338" s="102">
        <v>-9.284706604263995E-3</v>
      </c>
      <c r="G338" s="102">
        <v>-8.2377362632761984E-3</v>
      </c>
      <c r="H338" s="102">
        <v>-3.0047073748872893E-3</v>
      </c>
      <c r="I338" s="102">
        <v>4.4210484210526299E-2</v>
      </c>
      <c r="J338" s="102">
        <v>5.183931391630806E-3</v>
      </c>
      <c r="K338" s="102">
        <v>4.0423056179155335E-2</v>
      </c>
    </row>
    <row r="339" spans="1:11" x14ac:dyDescent="0.3">
      <c r="A339" s="4">
        <v>44795</v>
      </c>
      <c r="B339" s="102">
        <v>1.1976088487279102E-2</v>
      </c>
      <c r="C339" s="102">
        <v>4.6186178884015357E-3</v>
      </c>
      <c r="D339" s="102">
        <v>-4.0589235471297962E-3</v>
      </c>
      <c r="E339" s="102">
        <v>1.669556617533034E-3</v>
      </c>
      <c r="F339" s="102">
        <v>7.9833575843948745E-3</v>
      </c>
      <c r="G339" s="102">
        <v>3.2736127050420269E-2</v>
      </c>
      <c r="H339" s="102">
        <v>-4.1322037303686892E-3</v>
      </c>
      <c r="I339" s="102">
        <v>4.8387501951109762E-3</v>
      </c>
      <c r="J339" s="102">
        <v>-1.8418948274412437E-3</v>
      </c>
      <c r="K339" s="102">
        <v>0</v>
      </c>
    </row>
    <row r="340" spans="1:11" x14ac:dyDescent="0.3">
      <c r="A340" s="4">
        <v>44796</v>
      </c>
      <c r="B340" s="102">
        <v>-2.5033145811814883E-3</v>
      </c>
      <c r="C340" s="102">
        <v>-7.8084421956859055E-3</v>
      </c>
      <c r="D340" s="102">
        <v>1.0219802461575844E-3</v>
      </c>
      <c r="E340" s="102">
        <v>-2.0571094254590316E-2</v>
      </c>
      <c r="F340" s="102">
        <v>-3.4435516433804704E-3</v>
      </c>
      <c r="G340" s="102">
        <v>1.2064394464849476E-2</v>
      </c>
      <c r="H340" s="102">
        <v>-3.1506812465534506E-3</v>
      </c>
      <c r="I340" s="102">
        <v>-1.3643659711075578E-2</v>
      </c>
      <c r="J340" s="102">
        <v>-1.2793805651299272E-2</v>
      </c>
      <c r="K340" s="102">
        <v>3.6141856787891705E-3</v>
      </c>
    </row>
    <row r="341" spans="1:11" x14ac:dyDescent="0.3">
      <c r="A341" s="4">
        <v>44797</v>
      </c>
      <c r="B341" s="102">
        <v>-4.1067850873760031E-3</v>
      </c>
      <c r="C341" s="102">
        <v>6.9873160203134284E-3</v>
      </c>
      <c r="D341" s="102">
        <v>1.856214384925559E-3</v>
      </c>
      <c r="E341" s="102">
        <v>1.8360348154083412E-3</v>
      </c>
      <c r="F341" s="102">
        <v>-1.9350374994244902E-2</v>
      </c>
      <c r="G341" s="102">
        <v>2.9061128364886869E-2</v>
      </c>
      <c r="H341" s="102">
        <v>-2.5163681993125601E-3</v>
      </c>
      <c r="I341" s="102">
        <v>1.7087062652563129E-2</v>
      </c>
      <c r="J341" s="102">
        <v>3.8629682001882389E-3</v>
      </c>
      <c r="K341" s="102">
        <v>-1.1028606797209082E-2</v>
      </c>
    </row>
    <row r="342" spans="1:11" x14ac:dyDescent="0.3">
      <c r="A342" s="4">
        <v>44798</v>
      </c>
      <c r="B342" s="102">
        <v>2.2907755440536716E-4</v>
      </c>
      <c r="C342" s="102">
        <v>1.1832769575157285E-2</v>
      </c>
      <c r="D342" s="102">
        <v>2.8406966201135201E-4</v>
      </c>
      <c r="E342" s="102">
        <v>-4.0230355707859171E-3</v>
      </c>
      <c r="F342" s="102">
        <v>3.1712846879018769E-3</v>
      </c>
      <c r="G342" s="102">
        <v>8.4040012355540688E-3</v>
      </c>
      <c r="H342" s="102">
        <v>1.6671570069629416E-3</v>
      </c>
      <c r="I342" s="102">
        <v>4.0400000000000061E-2</v>
      </c>
      <c r="J342" s="102">
        <v>1.1171898627185555E-2</v>
      </c>
      <c r="K342" s="102">
        <v>2.0710036884616204E-2</v>
      </c>
    </row>
    <row r="343" spans="1:11" x14ac:dyDescent="0.3">
      <c r="A343" s="4">
        <v>44799</v>
      </c>
      <c r="B343" s="102">
        <v>5.2679476584095745E-3</v>
      </c>
      <c r="C343" s="102">
        <v>-3.1040692867908681E-3</v>
      </c>
      <c r="D343" s="102">
        <v>-2.7845441492951369E-3</v>
      </c>
      <c r="E343" s="102">
        <v>6.1936244054897156E-3</v>
      </c>
      <c r="F343" s="102">
        <v>-3.5130457464362845E-4</v>
      </c>
      <c r="G343" s="102">
        <v>1.9445877703921602E-2</v>
      </c>
      <c r="H343" s="102">
        <v>8.1024692274901902E-5</v>
      </c>
      <c r="I343" s="102">
        <v>-1.1534025374856261E-3</v>
      </c>
      <c r="J343" s="102">
        <v>3.1916721795480513E-3</v>
      </c>
      <c r="K343" s="102">
        <v>-5.3734651225625457E-2</v>
      </c>
    </row>
    <row r="344" spans="1:11" x14ac:dyDescent="0.3">
      <c r="A344" s="4">
        <v>44802</v>
      </c>
      <c r="B344" s="102">
        <v>-2.7340833660874481E-3</v>
      </c>
      <c r="C344" s="102">
        <v>-5.7929039870490626E-3</v>
      </c>
      <c r="D344" s="102">
        <v>-3.6525851337342307E-4</v>
      </c>
      <c r="E344" s="102">
        <v>3.3899769237834862E-3</v>
      </c>
      <c r="F344" s="102">
        <v>-0.12789880802308595</v>
      </c>
      <c r="G344" s="102">
        <v>4.7871078567322247E-3</v>
      </c>
      <c r="H344" s="102">
        <v>-7.696722141578631E-4</v>
      </c>
      <c r="I344" s="102">
        <v>-3.3102347959969282E-2</v>
      </c>
      <c r="J344" s="102">
        <v>-5.7512750364876047E-3</v>
      </c>
      <c r="K344" s="102">
        <v>-4.0056315741194325E-3</v>
      </c>
    </row>
    <row r="345" spans="1:11" x14ac:dyDescent="0.3">
      <c r="A345" s="4">
        <v>44803</v>
      </c>
      <c r="B345" s="102">
        <v>-8.9102243982839124E-3</v>
      </c>
      <c r="C345" s="102">
        <v>2.7093977393581888E-2</v>
      </c>
      <c r="D345" s="102">
        <v>5.2646545442415404E-3</v>
      </c>
      <c r="E345" s="102">
        <v>5.868017640945326E-3</v>
      </c>
      <c r="F345" s="102">
        <v>5.8420669186132305E-2</v>
      </c>
      <c r="G345" s="102">
        <v>1.0005171700057047E-2</v>
      </c>
      <c r="H345" s="102">
        <v>1.5506651982080768E-3</v>
      </c>
      <c r="I345" s="102">
        <v>-9.9522289031756007E-3</v>
      </c>
      <c r="J345" s="102">
        <v>1.2307000431099981E-3</v>
      </c>
      <c r="K345" s="102">
        <v>2.3893991010172543E-2</v>
      </c>
    </row>
    <row r="346" spans="1:11" x14ac:dyDescent="0.3">
      <c r="A346" s="4">
        <v>44804</v>
      </c>
      <c r="B346" s="102">
        <v>9.9123903083874962E-3</v>
      </c>
      <c r="C346" s="102">
        <v>-1.2055148222112679E-2</v>
      </c>
      <c r="D346" s="102">
        <v>-4.5531906763925578E-3</v>
      </c>
      <c r="E346" s="102">
        <v>-2.169975063298784E-2</v>
      </c>
      <c r="F346" s="102">
        <v>-1.3703856788426973E-2</v>
      </c>
      <c r="G346" s="102">
        <v>-2.5254875362021496E-2</v>
      </c>
      <c r="H346" s="102">
        <v>-1.3256381109150914E-3</v>
      </c>
      <c r="I346" s="102">
        <v>-1.6084036345635924E-3</v>
      </c>
      <c r="J346" s="102">
        <v>4.7939948660049659E-3</v>
      </c>
      <c r="K346" s="102">
        <v>1.3170032651803039E-2</v>
      </c>
    </row>
    <row r="347" spans="1:11" x14ac:dyDescent="0.3">
      <c r="A347" s="4">
        <v>44805</v>
      </c>
      <c r="B347" s="102">
        <v>-3.8803961134500869E-3</v>
      </c>
      <c r="C347" s="102">
        <v>5.6703606888210117E-3</v>
      </c>
      <c r="D347" s="102">
        <v>-5.5708117849141947E-5</v>
      </c>
      <c r="E347" s="102">
        <v>-6.1438581618008612E-3</v>
      </c>
      <c r="F347" s="102">
        <v>-9.2628411487280116E-3</v>
      </c>
      <c r="G347" s="102">
        <v>-2.9781408819166198E-3</v>
      </c>
      <c r="H347" s="102">
        <v>1.2868665306619057E-3</v>
      </c>
      <c r="I347" s="102">
        <v>-2.738622633910591E-2</v>
      </c>
      <c r="J347" s="102">
        <v>-4.8932907184929143E-4</v>
      </c>
      <c r="K347" s="102">
        <v>-3.6487800980059136E-3</v>
      </c>
    </row>
    <row r="348" spans="1:11" x14ac:dyDescent="0.3">
      <c r="A348" s="4">
        <v>44806</v>
      </c>
      <c r="B348" s="102">
        <v>3.5517847141424065E-2</v>
      </c>
      <c r="C348" s="102">
        <v>-1.2132537363035093E-3</v>
      </c>
      <c r="D348" s="102">
        <v>-3.311576625358735E-3</v>
      </c>
      <c r="E348" s="102">
        <v>1.8179055212288889E-4</v>
      </c>
      <c r="F348" s="102">
        <v>-2.7658707005587115E-2</v>
      </c>
      <c r="G348" s="102">
        <v>-1.6092290666466735E-2</v>
      </c>
      <c r="H348" s="102">
        <v>-2.243218901058882E-3</v>
      </c>
      <c r="I348" s="102">
        <v>-4.5548240165630815E-3</v>
      </c>
      <c r="J348" s="102">
        <v>3.3048402054863938E-3</v>
      </c>
      <c r="K348" s="102">
        <v>-3.6392790945131419E-2</v>
      </c>
    </row>
    <row r="349" spans="1:11" x14ac:dyDescent="0.3">
      <c r="A349" s="4">
        <v>44809</v>
      </c>
      <c r="B349" s="102">
        <v>-1.8366879563909946E-2</v>
      </c>
      <c r="C349" s="102">
        <v>-1.6436953301756786E-3</v>
      </c>
      <c r="D349" s="102">
        <v>7.3906997507566905E-4</v>
      </c>
      <c r="E349" s="102">
        <v>1.1362066023042573E-3</v>
      </c>
      <c r="F349" s="102">
        <v>1.1217906111734984E-2</v>
      </c>
      <c r="G349" s="102">
        <v>-1.7000531978619702E-2</v>
      </c>
      <c r="H349" s="102">
        <v>1.1799150731614189E-3</v>
      </c>
      <c r="I349" s="102">
        <v>0</v>
      </c>
      <c r="J349" s="102">
        <v>8.4178815941532564E-3</v>
      </c>
      <c r="K349" s="102">
        <v>-2.5415654414045408E-2</v>
      </c>
    </row>
    <row r="350" spans="1:11" x14ac:dyDescent="0.3">
      <c r="A350" s="4">
        <v>44810</v>
      </c>
      <c r="B350" s="102">
        <v>1.7358021561774132E-2</v>
      </c>
      <c r="C350" s="102">
        <v>-8.5877884115788145E-4</v>
      </c>
      <c r="D350" s="102">
        <v>3.9779110802548477E-3</v>
      </c>
      <c r="E350" s="102">
        <v>7.9440467152676383E-3</v>
      </c>
      <c r="F350" s="102">
        <v>-6.7353364847452857E-2</v>
      </c>
      <c r="G350" s="102">
        <v>-1.115663565314347E-2</v>
      </c>
      <c r="H350" s="102">
        <v>-3.0932047424635598E-3</v>
      </c>
      <c r="I350" s="102">
        <v>-7.0715471268075949E-3</v>
      </c>
      <c r="J350" s="102">
        <v>-3.8714479521379506E-3</v>
      </c>
      <c r="K350" s="102">
        <v>-2.2178894033119442E-2</v>
      </c>
    </row>
    <row r="351" spans="1:11" x14ac:dyDescent="0.3">
      <c r="A351" s="4">
        <v>44811</v>
      </c>
      <c r="B351" s="102">
        <v>-1.1300741624823652E-2</v>
      </c>
      <c r="C351" s="102">
        <v>5.0862278665703862E-3</v>
      </c>
      <c r="D351" s="102">
        <v>3.1647779797869752E-3</v>
      </c>
      <c r="E351" s="102">
        <v>-2.0131455999529906E-2</v>
      </c>
      <c r="F351" s="102">
        <v>3.9507214111412885E-2</v>
      </c>
      <c r="G351" s="102">
        <v>2.6078442929809417E-2</v>
      </c>
      <c r="H351" s="102">
        <v>3.1739364602985788E-3</v>
      </c>
      <c r="I351" s="102">
        <v>-1.7595307180757896E-2</v>
      </c>
      <c r="J351" s="102">
        <v>1.0931175379457697E-3</v>
      </c>
      <c r="K351" s="102">
        <v>4.1126646089896544E-2</v>
      </c>
    </row>
    <row r="352" spans="1:11" x14ac:dyDescent="0.3">
      <c r="A352" s="4">
        <v>44812</v>
      </c>
      <c r="B352" s="102">
        <v>-8.5163216523428658E-3</v>
      </c>
      <c r="C352" s="102">
        <v>-1.7817659166106279E-3</v>
      </c>
      <c r="D352" s="102">
        <v>-5.5640696059092538E-3</v>
      </c>
      <c r="E352" s="102">
        <v>-3.5851056840550269E-3</v>
      </c>
      <c r="F352" s="102">
        <v>3.9640317004055105E-2</v>
      </c>
      <c r="G352" s="102">
        <v>-6.9245409200586932E-3</v>
      </c>
      <c r="H352" s="102">
        <v>7.6986972993789784E-4</v>
      </c>
      <c r="I352" s="102">
        <v>2.4306992566865956E-2</v>
      </c>
      <c r="J352" s="102">
        <v>6.0658112654872545E-3</v>
      </c>
      <c r="K352" s="102">
        <v>1.10126885324394E-2</v>
      </c>
    </row>
    <row r="353" spans="1:11" x14ac:dyDescent="0.3">
      <c r="A353" s="4">
        <v>44813</v>
      </c>
      <c r="B353" s="102">
        <v>-1.4014538221027379E-2</v>
      </c>
      <c r="C353" s="102">
        <v>3.7843135603092422E-3</v>
      </c>
      <c r="D353" s="102">
        <v>2.3731416072485024E-3</v>
      </c>
      <c r="E353" s="102">
        <v>1.8820051057443676E-2</v>
      </c>
      <c r="F353" s="102">
        <v>3.9308468722580609E-3</v>
      </c>
      <c r="G353" s="102">
        <v>1.0880793422443779E-2</v>
      </c>
      <c r="H353" s="102">
        <v>-1.4845705879574197E-3</v>
      </c>
      <c r="I353" s="102">
        <v>-1.6652789342214466E-3</v>
      </c>
      <c r="J353" s="102">
        <v>-3.4969765134413178E-3</v>
      </c>
      <c r="K353" s="102">
        <v>-3.5046175704475421E-2</v>
      </c>
    </row>
    <row r="354" spans="1:11" x14ac:dyDescent="0.3">
      <c r="A354" s="4">
        <v>44816</v>
      </c>
      <c r="B354" s="102">
        <v>3.4846475289644761E-2</v>
      </c>
      <c r="C354" s="102">
        <v>6.9000240197250881E-3</v>
      </c>
      <c r="D354" s="102">
        <v>-4.3640833364961239E-3</v>
      </c>
      <c r="E354" s="102">
        <v>1.4488878576158432E-3</v>
      </c>
      <c r="F354" s="102">
        <v>4.9334344901979778E-2</v>
      </c>
      <c r="G354" s="102">
        <v>-3.9567943007740622E-2</v>
      </c>
      <c r="H354" s="102">
        <v>-8.1772779801458082E-4</v>
      </c>
      <c r="I354" s="102">
        <v>3.7948248540450341E-2</v>
      </c>
      <c r="J354" s="102">
        <v>7.1394467020962733E-3</v>
      </c>
      <c r="K354" s="102">
        <v>-1.0797521472392645E-2</v>
      </c>
    </row>
    <row r="355" spans="1:11" x14ac:dyDescent="0.3">
      <c r="A355" s="4">
        <v>44817</v>
      </c>
      <c r="B355" s="102">
        <v>-5.981426880742738E-3</v>
      </c>
      <c r="C355" s="102">
        <v>7.7704569666825962E-4</v>
      </c>
      <c r="D355" s="102">
        <v>-1.6888318390061781E-3</v>
      </c>
      <c r="E355" s="102">
        <v>-1.4196057912047927E-2</v>
      </c>
      <c r="F355" s="102">
        <v>-6.0820866565504991E-2</v>
      </c>
      <c r="G355" s="102">
        <v>-2.1467199061328258E-2</v>
      </c>
      <c r="H355" s="102">
        <v>2.1880284071694955E-3</v>
      </c>
      <c r="I355" s="102">
        <v>-3.495375793305576E-2</v>
      </c>
      <c r="J355" s="102">
        <v>4.805800223193003E-3</v>
      </c>
      <c r="K355" s="102">
        <v>7.1941700026253936E-3</v>
      </c>
    </row>
    <row r="356" spans="1:11" x14ac:dyDescent="0.3">
      <c r="A356" s="4">
        <v>44818</v>
      </c>
      <c r="B356" s="102">
        <v>-6.6861470254597896E-4</v>
      </c>
      <c r="C356" s="102">
        <v>-7.0592737054848531E-4</v>
      </c>
      <c r="D356" s="102">
        <v>2.7551424196473398E-3</v>
      </c>
      <c r="E356" s="102">
        <v>-7.7952403642392895E-4</v>
      </c>
      <c r="F356" s="102">
        <v>1.1919350885296141E-3</v>
      </c>
      <c r="G356" s="102">
        <v>-1.9074871883393667E-2</v>
      </c>
      <c r="H356" s="102">
        <v>-2.7636520700394874E-3</v>
      </c>
      <c r="I356" s="102">
        <v>-8.3263946711073806E-3</v>
      </c>
      <c r="J356" s="102">
        <v>9.0877287062722037E-3</v>
      </c>
      <c r="K356" s="102">
        <v>-2.1182168531141368E-2</v>
      </c>
    </row>
    <row r="357" spans="1:11" x14ac:dyDescent="0.3">
      <c r="A357" s="4">
        <v>44819</v>
      </c>
      <c r="B357" s="102">
        <v>-2.4531621046882706E-2</v>
      </c>
      <c r="C357" s="102">
        <v>-2.3312031035493661E-3</v>
      </c>
      <c r="D357" s="102">
        <v>-2.7351758079058553E-3</v>
      </c>
      <c r="E357" s="102">
        <v>-1.7762134674417361E-2</v>
      </c>
      <c r="F357" s="102">
        <v>4.7618311127417033E-3</v>
      </c>
      <c r="G357" s="102">
        <v>-5.8789959324330272E-3</v>
      </c>
      <c r="H357" s="102">
        <v>-3.6578598305406621E-3</v>
      </c>
      <c r="I357" s="102">
        <v>-3.0226700251889119E-2</v>
      </c>
      <c r="J357" s="102">
        <v>-4.9770035663827305E-3</v>
      </c>
      <c r="K357" s="102">
        <v>-8.5304575475361022E-2</v>
      </c>
    </row>
    <row r="358" spans="1:11" x14ac:dyDescent="0.3">
      <c r="A358" s="4">
        <v>44823</v>
      </c>
      <c r="B358" s="102">
        <v>1.5546332084090867E-2</v>
      </c>
      <c r="C358" s="102">
        <v>4.5317257081391006E-3</v>
      </c>
      <c r="D358" s="102">
        <v>-3.3577146013392614E-4</v>
      </c>
      <c r="E358" s="102">
        <v>-7.5697315888550156E-3</v>
      </c>
      <c r="F358" s="102">
        <v>-1.0663478283708392E-2</v>
      </c>
      <c r="G358" s="102">
        <v>1.9395401508584407E-2</v>
      </c>
      <c r="H358" s="102">
        <v>2.7237499448118465E-3</v>
      </c>
      <c r="I358" s="102">
        <v>-7.7922077922077792E-3</v>
      </c>
      <c r="J358" s="102">
        <v>-9.9376726226214872E-3</v>
      </c>
      <c r="K358" s="102">
        <v>8.0055025037415517E-2</v>
      </c>
    </row>
    <row r="359" spans="1:11" x14ac:dyDescent="0.3">
      <c r="A359" s="4">
        <v>44824</v>
      </c>
      <c r="B359" s="102">
        <v>8.3296509913866387E-3</v>
      </c>
      <c r="C359" s="102">
        <v>-4.934083311294103E-3</v>
      </c>
      <c r="D359" s="102">
        <v>5.1696992607125356E-3</v>
      </c>
      <c r="E359" s="102">
        <v>8.5691421188022476E-3</v>
      </c>
      <c r="F359" s="102">
        <v>4.3912345027566019E-3</v>
      </c>
      <c r="G359" s="102">
        <v>5.7200973630831091E-3</v>
      </c>
      <c r="H359" s="102">
        <v>3.8272779924741034E-3</v>
      </c>
      <c r="I359" s="102">
        <v>-2.0069851657940743E-2</v>
      </c>
      <c r="J359" s="102">
        <v>-6.1675423994710177E-3</v>
      </c>
      <c r="K359" s="102">
        <v>4.7376492479698974E-2</v>
      </c>
    </row>
    <row r="360" spans="1:11" x14ac:dyDescent="0.3">
      <c r="A360" s="4">
        <v>44825</v>
      </c>
      <c r="B360" s="102">
        <v>0</v>
      </c>
      <c r="C360" s="102">
        <v>7.0838481039905282E-4</v>
      </c>
      <c r="D360" s="102">
        <v>-5.4773435237385221E-3</v>
      </c>
      <c r="E360" s="102">
        <v>1.1950898894239026E-2</v>
      </c>
      <c r="F360" s="102">
        <v>2.1860101705722976E-2</v>
      </c>
      <c r="G360" s="102">
        <v>-1.5045826871915949E-2</v>
      </c>
      <c r="H360" s="102">
        <v>1.9771981145763357E-3</v>
      </c>
      <c r="I360" s="102">
        <v>-2.0926047236244374E-2</v>
      </c>
      <c r="J360" s="102">
        <v>-4.1374770933730372E-3</v>
      </c>
      <c r="K360" s="102">
        <v>-1.9455229072354786E-2</v>
      </c>
    </row>
    <row r="361" spans="1:11" x14ac:dyDescent="0.3">
      <c r="A361" s="4">
        <v>44826</v>
      </c>
      <c r="B361" s="102">
        <v>1.2279491319114478E-2</v>
      </c>
      <c r="C361" s="102">
        <v>8.2111408839316662E-3</v>
      </c>
      <c r="D361" s="102">
        <v>2.5328350220790671E-3</v>
      </c>
      <c r="E361" s="102">
        <v>6.4123259605603482E-3</v>
      </c>
      <c r="F361" s="102">
        <v>-2.8004691995860111E-2</v>
      </c>
      <c r="G361" s="102">
        <v>-2.2114588233279504E-3</v>
      </c>
      <c r="H361" s="102">
        <v>-3.8186318252993205E-3</v>
      </c>
      <c r="I361" s="102">
        <v>4.5929968167348872E-2</v>
      </c>
      <c r="J361" s="102">
        <v>1.7595519784093461E-2</v>
      </c>
      <c r="K361" s="102">
        <v>-2.4801339285713503E-3</v>
      </c>
    </row>
    <row r="362" spans="1:11" x14ac:dyDescent="0.3">
      <c r="A362" s="4">
        <v>44827</v>
      </c>
      <c r="B362" s="102">
        <v>7.2783207154259464E-3</v>
      </c>
      <c r="C362" s="102">
        <v>1.4043294034100083E-3</v>
      </c>
      <c r="D362" s="102">
        <v>5.0218916482135112E-3</v>
      </c>
      <c r="E362" s="102">
        <v>-6.7840248589595914E-3</v>
      </c>
      <c r="F362" s="102">
        <v>-2.2809105007051932E-2</v>
      </c>
      <c r="G362" s="102">
        <v>-1.2518482238213995E-2</v>
      </c>
      <c r="H362" s="102">
        <v>-3.218053550844974E-3</v>
      </c>
      <c r="I362" s="102">
        <v>-1.5217391304347887E-2</v>
      </c>
      <c r="J362" s="102">
        <v>9.7260556261887874E-3</v>
      </c>
      <c r="K362" s="102">
        <v>5.4201913122776828E-2</v>
      </c>
    </row>
    <row r="363" spans="1:11" x14ac:dyDescent="0.3">
      <c r="A363" s="4">
        <v>44830</v>
      </c>
      <c r="B363" s="102">
        <v>-1.3356599234156195E-2</v>
      </c>
      <c r="C363" s="102">
        <v>6.9820944238437608E-5</v>
      </c>
      <c r="D363" s="102">
        <v>-1.4208408086507807E-4</v>
      </c>
      <c r="E363" s="102">
        <v>-4.8458680948734439E-3</v>
      </c>
      <c r="F363" s="102">
        <v>1.0237505871725448E-2</v>
      </c>
      <c r="G363" s="102">
        <v>-1.5212615074818062E-2</v>
      </c>
      <c r="H363" s="102">
        <v>-2.1635993068341961E-3</v>
      </c>
      <c r="I363" s="102">
        <v>-1.1479072847682077E-2</v>
      </c>
      <c r="J363" s="102">
        <v>-1.6648761290965265E-3</v>
      </c>
      <c r="K363" s="102">
        <v>-8.0188911311844021E-3</v>
      </c>
    </row>
    <row r="364" spans="1:11" x14ac:dyDescent="0.3">
      <c r="A364" s="4">
        <v>44831</v>
      </c>
      <c r="B364" s="102">
        <v>3.7283643712057855E-2</v>
      </c>
      <c r="C364" s="102">
        <v>-4.0659746559230121E-3</v>
      </c>
      <c r="D364" s="102">
        <v>-1.2415935978748716E-3</v>
      </c>
      <c r="E364" s="102">
        <v>-1.1593715930733814E-3</v>
      </c>
      <c r="F364" s="102">
        <v>-1.4187297736971322E-2</v>
      </c>
      <c r="G364" s="102">
        <v>-5.7443069269832767E-2</v>
      </c>
      <c r="H364" s="102">
        <v>6.0936443255697808E-3</v>
      </c>
      <c r="I364" s="102">
        <v>4.0643146076067276E-2</v>
      </c>
      <c r="J364" s="102">
        <v>-9.1719427784122658E-3</v>
      </c>
      <c r="K364" s="102">
        <v>2.6152400709643325E-3</v>
      </c>
    </row>
    <row r="365" spans="1:11" x14ac:dyDescent="0.3">
      <c r="A365" s="4">
        <v>44832</v>
      </c>
      <c r="B365" s="102">
        <v>-1.8399656755000757E-2</v>
      </c>
      <c r="C365" s="102">
        <v>1.2670310641326528E-3</v>
      </c>
      <c r="D365" s="102">
        <v>-1.8926543082079517E-3</v>
      </c>
      <c r="E365" s="102">
        <v>6.9179392135349967E-3</v>
      </c>
      <c r="F365" s="102">
        <v>-6.9901513948426438E-3</v>
      </c>
      <c r="G365" s="102">
        <v>8.7318508815916168E-3</v>
      </c>
      <c r="H365" s="102">
        <v>1.2397224643115527E-3</v>
      </c>
      <c r="I365" s="102">
        <v>-1.3304678682604289E-2</v>
      </c>
      <c r="J365" s="102">
        <v>4.0873665901782286E-3</v>
      </c>
      <c r="K365" s="102">
        <v>1.3753901529708405E-2</v>
      </c>
    </row>
    <row r="366" spans="1:11" x14ac:dyDescent="0.3">
      <c r="A366" s="4">
        <v>44833</v>
      </c>
      <c r="B366" s="102">
        <v>3.988658576641195E-2</v>
      </c>
      <c r="C366" s="102">
        <v>2.1793740399015144E-3</v>
      </c>
      <c r="D366" s="102">
        <v>-2.3671311082202355E-3</v>
      </c>
      <c r="E366" s="102">
        <v>4.9339067716296422E-3</v>
      </c>
      <c r="F366" s="102">
        <v>-1.5320911745169368E-2</v>
      </c>
      <c r="G366" s="102">
        <v>1.5092972608994105E-2</v>
      </c>
      <c r="H366" s="102">
        <v>-2.4730011032351642E-3</v>
      </c>
      <c r="I366" s="102">
        <v>-2.1748151370160804E-3</v>
      </c>
      <c r="J366" s="102">
        <v>-4.8132041655976912E-2</v>
      </c>
      <c r="K366" s="102">
        <v>-2.8070198830409364E-2</v>
      </c>
    </row>
    <row r="367" spans="1:11" x14ac:dyDescent="0.3">
      <c r="A367" s="4">
        <v>44834</v>
      </c>
      <c r="B367" s="102">
        <v>1.2995224829015358E-2</v>
      </c>
      <c r="C367" s="102">
        <v>-2.3148986354840206E-3</v>
      </c>
      <c r="D367" s="102">
        <v>-3.5409949550726301E-4</v>
      </c>
      <c r="E367" s="102">
        <v>-4.1295458966553872E-3</v>
      </c>
      <c r="F367" s="102">
        <v>-2.6492834726798083E-2</v>
      </c>
      <c r="G367" s="102">
        <v>-1.1807583083111766E-3</v>
      </c>
      <c r="H367" s="102">
        <v>2.0428318248846833E-3</v>
      </c>
      <c r="I367" s="102">
        <v>-4.3596336373302855E-4</v>
      </c>
      <c r="J367" s="102">
        <v>5.029696156880146E-4</v>
      </c>
      <c r="K367" s="102">
        <v>-4.572755826059172E-3</v>
      </c>
    </row>
    <row r="368" spans="1:11" x14ac:dyDescent="0.3">
      <c r="A368" s="4">
        <v>44837</v>
      </c>
      <c r="B368" s="102">
        <v>8.6902177959078796E-3</v>
      </c>
      <c r="C368" s="102">
        <v>1.1250169624309024E-2</v>
      </c>
      <c r="D368" s="102">
        <v>-2.5041084798418257E-3</v>
      </c>
      <c r="E368" s="102">
        <v>-1.0274690448570867E-2</v>
      </c>
      <c r="F368" s="102">
        <v>-1.0367180106136737E-2</v>
      </c>
      <c r="G368" s="102">
        <v>-4.5753052865666874E-2</v>
      </c>
      <c r="H368" s="102">
        <v>1.9407841442998061E-3</v>
      </c>
      <c r="I368" s="102">
        <v>1.3519406890536359E-2</v>
      </c>
      <c r="J368" s="102">
        <v>-1.5085621241359072E-3</v>
      </c>
      <c r="K368" s="102">
        <v>-2.4419801150391596E-2</v>
      </c>
    </row>
    <row r="369" spans="1:11" x14ac:dyDescent="0.3">
      <c r="A369" s="4">
        <v>44838</v>
      </c>
      <c r="B369" s="102">
        <v>-7.1794363736703047E-3</v>
      </c>
      <c r="C369" s="102">
        <v>-6.8141342446819408E-3</v>
      </c>
      <c r="D369" s="102">
        <v>-1.270741867796707E-3</v>
      </c>
      <c r="E369" s="102">
        <v>-4.841435017583065E-3</v>
      </c>
      <c r="F369" s="102">
        <v>3.0990876676846094E-2</v>
      </c>
      <c r="G369" s="102">
        <v>-2.4317458467320082E-3</v>
      </c>
      <c r="H369" s="102">
        <v>-2.6949910223108604E-4</v>
      </c>
      <c r="I369" s="102">
        <v>-1.5060283993115271E-2</v>
      </c>
      <c r="J369" s="102">
        <v>-1.4731779135461592E-2</v>
      </c>
      <c r="K369" s="102">
        <v>-3.9405206414136536E-2</v>
      </c>
    </row>
    <row r="370" spans="1:11" x14ac:dyDescent="0.3">
      <c r="A370" s="4">
        <v>44839</v>
      </c>
      <c r="B370" s="102">
        <v>1.2396644657364115E-2</v>
      </c>
      <c r="C370" s="102">
        <v>1.8552201078159282E-2</v>
      </c>
      <c r="D370" s="102">
        <v>9.1686914207392267E-4</v>
      </c>
      <c r="E370" s="102">
        <v>2.2500824411870925E-2</v>
      </c>
      <c r="F370" s="102">
        <v>0</v>
      </c>
      <c r="G370" s="102">
        <v>1.7063779938035043E-2</v>
      </c>
      <c r="H370" s="102">
        <v>-9.7719759946396831E-5</v>
      </c>
      <c r="I370" s="102">
        <v>-3.014408170135784E-2</v>
      </c>
      <c r="J370" s="102">
        <v>8.3066127267724769E-3</v>
      </c>
      <c r="K370" s="102">
        <v>7.6625442550332268E-2</v>
      </c>
    </row>
    <row r="371" spans="1:11" x14ac:dyDescent="0.3">
      <c r="A371" s="4">
        <v>44840</v>
      </c>
      <c r="B371" s="102">
        <v>8.9795660100691049E-3</v>
      </c>
      <c r="C371" s="102">
        <v>-1.7870817250152798E-3</v>
      </c>
      <c r="D371" s="102">
        <v>9.8457094385138218E-4</v>
      </c>
      <c r="E371" s="102">
        <v>1.6470389489236679E-3</v>
      </c>
      <c r="F371" s="102">
        <v>-2.9635790276025266E-3</v>
      </c>
      <c r="G371" s="102">
        <v>3.7986522905382515E-3</v>
      </c>
      <c r="H371" s="102">
        <v>1.0783923865493329E-4</v>
      </c>
      <c r="I371" s="102">
        <v>-5.855900637121594E-3</v>
      </c>
      <c r="J371" s="102">
        <v>-3.4219984200392749E-3</v>
      </c>
      <c r="K371" s="102">
        <v>1.9171099928109963E-3</v>
      </c>
    </row>
    <row r="372" spans="1:11" x14ac:dyDescent="0.3">
      <c r="A372" s="4">
        <v>44841</v>
      </c>
      <c r="B372" s="102">
        <v>-5.6634477471029518E-3</v>
      </c>
      <c r="C372" s="102">
        <v>2.4100739993623689E-3</v>
      </c>
      <c r="D372" s="102">
        <v>-2.0605652151339197E-3</v>
      </c>
      <c r="E372" s="102">
        <v>8.7694611295179824E-3</v>
      </c>
      <c r="F372" s="102">
        <v>-1.571125251301388E-2</v>
      </c>
      <c r="G372" s="102">
        <v>1.2659359315856412E-2</v>
      </c>
      <c r="H372" s="102">
        <v>1.5365434511575024E-3</v>
      </c>
      <c r="I372" s="102">
        <v>2.2655188038060714E-2</v>
      </c>
      <c r="J372" s="102">
        <v>-3.6882113580928928E-3</v>
      </c>
      <c r="K372" s="102">
        <v>-2.4635301969976112E-2</v>
      </c>
    </row>
    <row r="373" spans="1:11" x14ac:dyDescent="0.3">
      <c r="A373" s="4">
        <v>44844</v>
      </c>
      <c r="B373" s="102">
        <v>1.0781142811217545E-2</v>
      </c>
      <c r="C373" s="102">
        <v>2.1294110465368547E-2</v>
      </c>
      <c r="D373" s="102">
        <v>6.4867440920884207E-4</v>
      </c>
      <c r="E373" s="102">
        <v>-1.2043915178670653E-2</v>
      </c>
      <c r="F373" s="102">
        <v>1.4236380889798096E-2</v>
      </c>
      <c r="G373" s="102">
        <v>-4.1373801233979025E-2</v>
      </c>
      <c r="H373" s="102">
        <v>2.540154629810369E-3</v>
      </c>
      <c r="I373" s="102">
        <v>-8.8612760301285693E-3</v>
      </c>
      <c r="J373" s="102">
        <v>4.9784304860786745E-3</v>
      </c>
      <c r="K373" s="102">
        <v>1.7900907746466757E-2</v>
      </c>
    </row>
    <row r="374" spans="1:11" x14ac:dyDescent="0.3">
      <c r="A374" s="4">
        <v>44845</v>
      </c>
      <c r="B374" s="102">
        <v>-1.4892293675674739E-2</v>
      </c>
      <c r="C374" s="102">
        <v>8.945333718130128E-3</v>
      </c>
      <c r="D374" s="102">
        <v>-1.5771375277511528E-3</v>
      </c>
      <c r="E374" s="102">
        <v>-9.1652734673380583E-4</v>
      </c>
      <c r="F374" s="102">
        <v>-3.1475968311616496E-2</v>
      </c>
      <c r="G374" s="102">
        <v>-6.8683684215401592E-3</v>
      </c>
      <c r="H374" s="102">
        <v>2.0135511995714149E-5</v>
      </c>
      <c r="I374" s="102">
        <v>1.2963745508996699E-2</v>
      </c>
      <c r="J374" s="102">
        <v>4.699512048660961E-3</v>
      </c>
      <c r="K374" s="102">
        <v>3.5413203344408589E-2</v>
      </c>
    </row>
    <row r="375" spans="1:11" x14ac:dyDescent="0.3">
      <c r="A375" s="4">
        <v>44846</v>
      </c>
      <c r="B375" s="102">
        <v>-1.225750152978511E-3</v>
      </c>
      <c r="C375" s="102">
        <v>-2.6762881900962475E-3</v>
      </c>
      <c r="D375" s="102">
        <v>-4.6827646862266129E-4</v>
      </c>
      <c r="E375" s="102">
        <v>9.1284752189869662E-3</v>
      </c>
      <c r="F375" s="102">
        <v>-2.4154596856901408E-2</v>
      </c>
      <c r="G375" s="102">
        <v>4.8597803738318207E-3</v>
      </c>
      <c r="H375" s="102">
        <v>-1.3792547997059723E-3</v>
      </c>
      <c r="I375" s="102">
        <v>0</v>
      </c>
      <c r="J375" s="102">
        <v>-3.9190531936672589E-3</v>
      </c>
      <c r="K375" s="102">
        <v>-4.6533503955328136E-3</v>
      </c>
    </row>
    <row r="376" spans="1:11" x14ac:dyDescent="0.3">
      <c r="A376" s="4">
        <v>44847</v>
      </c>
      <c r="B376" s="102">
        <v>1.5136041817786145E-2</v>
      </c>
      <c r="C376" s="102">
        <v>3.1532494385722227E-3</v>
      </c>
      <c r="D376" s="102">
        <v>1.8614154270194704E-5</v>
      </c>
      <c r="E376" s="102">
        <v>8.3640030971800575E-3</v>
      </c>
      <c r="F376" s="102">
        <v>3.6004220622691098E-3</v>
      </c>
      <c r="G376" s="102">
        <v>-1.6555046111817951E-2</v>
      </c>
      <c r="H376" s="102">
        <v>1.1795306073070079E-3</v>
      </c>
      <c r="I376" s="102">
        <v>-2.6478375992938534E-3</v>
      </c>
      <c r="J376" s="102">
        <v>8.249786112349498E-3</v>
      </c>
      <c r="K376" s="102">
        <v>1.870079520104719E-3</v>
      </c>
    </row>
    <row r="377" spans="1:11" x14ac:dyDescent="0.3">
      <c r="A377" s="4">
        <v>44848</v>
      </c>
      <c r="B377" s="102">
        <v>3.6268384447450591E-2</v>
      </c>
      <c r="C377" s="102">
        <v>8.1587520788056114E-3</v>
      </c>
      <c r="D377" s="102">
        <v>1.5430352808013578E-3</v>
      </c>
      <c r="E377" s="102">
        <v>1.6363890049244153E-2</v>
      </c>
      <c r="F377" s="102">
        <v>-1.8834096690276522E-2</v>
      </c>
      <c r="G377" s="102">
        <v>-1.2530707632508147E-2</v>
      </c>
      <c r="H377" s="102">
        <v>-2.7422825054460431E-3</v>
      </c>
      <c r="I377" s="102">
        <v>2.2566415929203495E-2</v>
      </c>
      <c r="J377" s="102">
        <v>4.2799013031858705E-3</v>
      </c>
      <c r="K377" s="102">
        <v>-2.6131567285777712E-2</v>
      </c>
    </row>
    <row r="378" spans="1:11" x14ac:dyDescent="0.3">
      <c r="A378" s="4">
        <v>44851</v>
      </c>
      <c r="B378" s="102">
        <v>-8.5552930724274619E-3</v>
      </c>
      <c r="C378" s="102">
        <v>-3.3175166584664049E-4</v>
      </c>
      <c r="D378" s="102">
        <v>7.0486031631801515E-4</v>
      </c>
      <c r="E378" s="102">
        <v>-2.3950992057444782E-3</v>
      </c>
      <c r="F378" s="102">
        <v>8.0438707135456936E-2</v>
      </c>
      <c r="G378" s="102">
        <v>-1.2785509622319597E-2</v>
      </c>
      <c r="H378" s="102">
        <v>-2.029551344619831E-3</v>
      </c>
      <c r="I378" s="102">
        <v>2.5530072456509189E-2</v>
      </c>
      <c r="J378" s="102">
        <v>3.1335476896866155E-3</v>
      </c>
      <c r="K378" s="102">
        <v>-4.3603352007505834E-2</v>
      </c>
    </row>
    <row r="379" spans="1:11" x14ac:dyDescent="0.3">
      <c r="A379" s="4">
        <v>44852</v>
      </c>
      <c r="B379" s="102">
        <v>-2.3141807684972787E-2</v>
      </c>
      <c r="C379" s="102">
        <v>-1.0616974060659997E-2</v>
      </c>
      <c r="D379" s="102">
        <v>-2.6989149884894845E-3</v>
      </c>
      <c r="E379" s="102">
        <v>3.0677259068930063E-3</v>
      </c>
      <c r="F379" s="102">
        <v>-2.5380650982342618E-2</v>
      </c>
      <c r="G379" s="102">
        <v>-3.5894741251556923E-3</v>
      </c>
      <c r="H379" s="102">
        <v>1.9156377421106104E-3</v>
      </c>
      <c r="I379" s="102">
        <v>1.2236244209441093E-2</v>
      </c>
      <c r="J379" s="102">
        <v>-2.3366126386456972E-2</v>
      </c>
      <c r="K379" s="102">
        <v>-3.0561048625303022E-2</v>
      </c>
    </row>
    <row r="380" spans="1:11" x14ac:dyDescent="0.3">
      <c r="A380" s="4">
        <v>44853</v>
      </c>
      <c r="B380" s="102">
        <v>2.0072724697675959E-4</v>
      </c>
      <c r="C380" s="102">
        <v>6.7739420430047723E-3</v>
      </c>
      <c r="D380" s="102">
        <v>4.0497873416631674E-3</v>
      </c>
      <c r="E380" s="102">
        <v>4.3436999868841373E-3</v>
      </c>
      <c r="F380" s="102">
        <v>-1.2152816414523298E-2</v>
      </c>
      <c r="G380" s="102">
        <v>-1.6551260992612078E-3</v>
      </c>
      <c r="H380" s="102">
        <v>-4.3558024067996137E-3</v>
      </c>
      <c r="I380" s="102">
        <v>-4.5852855356397215E-3</v>
      </c>
      <c r="J380" s="102">
        <v>1.0363386945487529E-2</v>
      </c>
      <c r="K380" s="102">
        <v>-1.7312712730937752E-2</v>
      </c>
    </row>
    <row r="381" spans="1:11" x14ac:dyDescent="0.3">
      <c r="A381" s="4">
        <v>44854</v>
      </c>
      <c r="B381" s="102">
        <v>2.2079422632111725E-3</v>
      </c>
      <c r="C381" s="102">
        <v>8.9267801441536825E-3</v>
      </c>
      <c r="D381" s="102">
        <v>-1.1825968819802908E-3</v>
      </c>
      <c r="E381" s="102">
        <v>-4.3690397309574325E-3</v>
      </c>
      <c r="F381" s="102">
        <v>1.0984178169292487E-2</v>
      </c>
      <c r="G381" s="102">
        <v>5.6368231359779197E-2</v>
      </c>
      <c r="H381" s="102">
        <v>5.3857414776473135E-3</v>
      </c>
      <c r="I381" s="102">
        <v>-3.8944641496844332E-2</v>
      </c>
      <c r="J381" s="102">
        <v>-2.152686806397667E-3</v>
      </c>
      <c r="K381" s="102">
        <v>2.6558033830082407E-2</v>
      </c>
    </row>
    <row r="382" spans="1:11" x14ac:dyDescent="0.3">
      <c r="A382" s="4">
        <v>44855</v>
      </c>
      <c r="B382" s="102">
        <v>-1.2617692954693263E-2</v>
      </c>
      <c r="C382" s="102">
        <v>-6.6029103727347008E-3</v>
      </c>
      <c r="D382" s="102">
        <v>1.3709881292598676E-3</v>
      </c>
      <c r="E382" s="102">
        <v>-5.8952918959522286E-3</v>
      </c>
      <c r="F382" s="102">
        <v>2.7379382217774056E-2</v>
      </c>
      <c r="G382" s="102">
        <v>2.2433535000154849E-2</v>
      </c>
      <c r="H382" s="102">
        <v>5.3333512681000986E-3</v>
      </c>
      <c r="I382" s="102">
        <v>1.3071851282272262E-2</v>
      </c>
      <c r="J382" s="102">
        <v>-5.330043601547073E-3</v>
      </c>
      <c r="K382" s="102">
        <v>2.5102432758646872E-2</v>
      </c>
    </row>
    <row r="383" spans="1:11" x14ac:dyDescent="0.3">
      <c r="A383" s="4">
        <v>44858</v>
      </c>
      <c r="B383" s="102">
        <v>-5.4766242986584784E-3</v>
      </c>
      <c r="C383" s="102">
        <v>-1.0302411869292573E-2</v>
      </c>
      <c r="D383" s="102">
        <v>-1.0455483348369885E-3</v>
      </c>
      <c r="E383" s="102">
        <v>9.720330389723017E-3</v>
      </c>
      <c r="F383" s="102">
        <v>3.8071100709459495E-2</v>
      </c>
      <c r="G383" s="102">
        <v>1.5259616252821722E-2</v>
      </c>
      <c r="H383" s="102">
        <v>1.9735081616269793E-3</v>
      </c>
      <c r="I383" s="102">
        <v>4.3440860215053834E-2</v>
      </c>
      <c r="J383" s="102">
        <v>-9.0583846105411828E-3</v>
      </c>
      <c r="K383" s="102">
        <v>6.1969015492253789E-2</v>
      </c>
    </row>
    <row r="384" spans="1:11" x14ac:dyDescent="0.3">
      <c r="A384" s="4">
        <v>44859</v>
      </c>
      <c r="B384" s="102">
        <v>1.3257166145848129E-2</v>
      </c>
      <c r="C384" s="102">
        <v>4.0302773743371574E-4</v>
      </c>
      <c r="D384" s="102">
        <v>-2.8034235322915435E-3</v>
      </c>
      <c r="E384" s="102">
        <v>-1.2365040375558734E-3</v>
      </c>
      <c r="F384" s="102">
        <v>1.2632434569856658E-2</v>
      </c>
      <c r="G384" s="102">
        <v>8.982519366272609E-3</v>
      </c>
      <c r="H384" s="102">
        <v>9.0135202804218621E-4</v>
      </c>
      <c r="I384" s="102">
        <v>-3.709810387469079E-3</v>
      </c>
      <c r="J384" s="102">
        <v>-2.575155455291854E-4</v>
      </c>
      <c r="K384" s="102">
        <v>7.5294117647058886E-3</v>
      </c>
    </row>
    <row r="385" spans="1:11" x14ac:dyDescent="0.3">
      <c r="A385" s="4">
        <v>44860</v>
      </c>
      <c r="B385" s="102">
        <v>4.0262714824884757E-4</v>
      </c>
      <c r="C385" s="102">
        <v>-1.0808218991032924E-2</v>
      </c>
      <c r="D385" s="102">
        <v>-2.4897197255358158E-5</v>
      </c>
      <c r="E385" s="102">
        <v>-5.5709752762949189E-3</v>
      </c>
      <c r="F385" s="102">
        <v>1.1670043571430604E-2</v>
      </c>
      <c r="G385" s="102">
        <v>-1.0048475364878167E-2</v>
      </c>
      <c r="H385" s="102">
        <v>-1.154025748782609E-3</v>
      </c>
      <c r="I385" s="102">
        <v>6.6197765825401975E-3</v>
      </c>
      <c r="J385" s="102">
        <v>-4.3787732600825101E-3</v>
      </c>
      <c r="K385" s="102">
        <v>-3.0359645025688865E-2</v>
      </c>
    </row>
    <row r="386" spans="1:11" x14ac:dyDescent="0.3">
      <c r="A386" s="4">
        <v>44861</v>
      </c>
      <c r="B386" s="102">
        <v>2.4144447289869155E-3</v>
      </c>
      <c r="C386" s="102">
        <v>-5.6328046145393022E-3</v>
      </c>
      <c r="D386" s="102">
        <v>-2.7494726054858959E-4</v>
      </c>
      <c r="E386" s="102">
        <v>1.9830109526204166E-2</v>
      </c>
      <c r="F386" s="102">
        <v>2.1877413910656892E-2</v>
      </c>
      <c r="G386" s="102">
        <v>6.2327888485618184E-3</v>
      </c>
      <c r="H386" s="102">
        <v>1.7363777823783937E-3</v>
      </c>
      <c r="I386" s="102">
        <v>-1.7673653925195223E-2</v>
      </c>
      <c r="J386" s="102">
        <v>1.6816920883450106E-3</v>
      </c>
      <c r="K386" s="102">
        <v>2.1435452793834138E-2</v>
      </c>
    </row>
    <row r="387" spans="1:11" x14ac:dyDescent="0.3">
      <c r="A387" s="4">
        <v>44862</v>
      </c>
      <c r="B387" s="102">
        <v>2.0072289120921523E-2</v>
      </c>
      <c r="C387" s="102">
        <v>8.053483420833946E-3</v>
      </c>
      <c r="D387" s="102">
        <v>5.632284723073636E-5</v>
      </c>
      <c r="E387" s="102">
        <v>-7.4988679611608967E-3</v>
      </c>
      <c r="F387" s="102">
        <v>1.0899218056888997E-2</v>
      </c>
      <c r="G387" s="102">
        <v>3.1413108903404798E-2</v>
      </c>
      <c r="H387" s="102">
        <v>2.3333800009338352E-5</v>
      </c>
      <c r="I387" s="102">
        <v>-4.142259414225935E-2</v>
      </c>
      <c r="J387" s="102">
        <v>2.7117787764219269E-3</v>
      </c>
      <c r="K387" s="102">
        <v>-5.4232492336712306E-3</v>
      </c>
    </row>
    <row r="388" spans="1:11" x14ac:dyDescent="0.3">
      <c r="A388" s="4">
        <v>44865</v>
      </c>
      <c r="B388" s="102">
        <v>-3.3451625518971526E-3</v>
      </c>
      <c r="C388" s="102">
        <v>2.7080754048893155E-3</v>
      </c>
      <c r="D388" s="102">
        <v>1.4995501120560747E-4</v>
      </c>
      <c r="E388" s="102">
        <v>-6.1057959480317614E-3</v>
      </c>
      <c r="F388" s="102">
        <v>-1.0011535549245391E-2</v>
      </c>
      <c r="G388" s="102">
        <v>5.2333606132756857E-3</v>
      </c>
      <c r="H388" s="102">
        <v>2.2866590444698813E-3</v>
      </c>
      <c r="I388" s="102">
        <v>8.7298123090351701E-4</v>
      </c>
      <c r="J388" s="102">
        <v>3.8633985789716715E-3</v>
      </c>
      <c r="K388" s="102">
        <v>1.4225225225224568E-3</v>
      </c>
    </row>
    <row r="389" spans="1:11" x14ac:dyDescent="0.3">
      <c r="A389" s="4">
        <v>44866</v>
      </c>
      <c r="B389" s="102">
        <v>-5.5281509917592545E-3</v>
      </c>
      <c r="C389" s="102">
        <v>-2.1606325554901504E-3</v>
      </c>
      <c r="D389" s="102">
        <v>8.8090404729660636E-4</v>
      </c>
      <c r="E389" s="102">
        <v>-8.3968785619976634E-4</v>
      </c>
      <c r="F389" s="102">
        <v>-1.0501797563207601E-2</v>
      </c>
      <c r="G389" s="102">
        <v>1.7239946526242996E-2</v>
      </c>
      <c r="H389" s="102">
        <v>2.3280022082753854E-4</v>
      </c>
      <c r="I389" s="102">
        <v>1.1338901003052727E-2</v>
      </c>
      <c r="J389" s="102">
        <v>4.8749843595187539E-3</v>
      </c>
      <c r="K389" s="102">
        <v>-1.4204615804705547E-2</v>
      </c>
    </row>
    <row r="390" spans="1:11" x14ac:dyDescent="0.3">
      <c r="A390" s="4">
        <v>44868</v>
      </c>
      <c r="B390" s="102">
        <v>-1.9058993012239317E-2</v>
      </c>
      <c r="C390" s="102">
        <v>5.2781058270767768E-3</v>
      </c>
      <c r="D390" s="102">
        <v>-1.3983466131084268E-3</v>
      </c>
      <c r="E390" s="102">
        <v>-1.1942860472776142E-3</v>
      </c>
      <c r="F390" s="102">
        <v>1.8081803350447755E-2</v>
      </c>
      <c r="G390" s="102">
        <v>6.5651454281998159E-2</v>
      </c>
      <c r="H390" s="102">
        <v>7.846866407100623E-4</v>
      </c>
      <c r="I390" s="102">
        <v>6.8994822380560776E-3</v>
      </c>
      <c r="J390" s="102">
        <v>2.4257258989589321E-3</v>
      </c>
      <c r="K390" s="102">
        <v>0</v>
      </c>
    </row>
    <row r="391" spans="1:11" x14ac:dyDescent="0.3">
      <c r="A391" s="4">
        <v>44869</v>
      </c>
      <c r="B391" s="102">
        <v>1.1333772953688046E-2</v>
      </c>
      <c r="C391" s="102">
        <v>4.6445198542660812E-3</v>
      </c>
      <c r="D391" s="102">
        <v>4.0633986822562863E-4</v>
      </c>
      <c r="E391" s="102">
        <v>-5.7578600674453625E-4</v>
      </c>
      <c r="F391" s="102">
        <v>1.548586914440573E-3</v>
      </c>
      <c r="G391" s="102">
        <v>-1.9643372907307669E-2</v>
      </c>
      <c r="H391" s="102">
        <v>-1.8771200659152055E-3</v>
      </c>
      <c r="I391" s="102">
        <v>-2.9122055674518189E-2</v>
      </c>
      <c r="J391" s="102">
        <v>-7.7687108067803143E-3</v>
      </c>
      <c r="K391" s="102">
        <v>-3.5542724196511298E-2</v>
      </c>
    </row>
    <row r="392" spans="1:11" x14ac:dyDescent="0.3">
      <c r="A392" s="4">
        <v>44872</v>
      </c>
      <c r="B392" s="102">
        <v>-1.040619732274062E-2</v>
      </c>
      <c r="C392" s="102">
        <v>-1.3266180108161272E-2</v>
      </c>
      <c r="D392" s="102">
        <v>1.9871216378141081E-3</v>
      </c>
      <c r="E392" s="102">
        <v>4.9629684660395662E-3</v>
      </c>
      <c r="F392" s="102">
        <v>-1.5848473134905297E-2</v>
      </c>
      <c r="G392" s="102">
        <v>2.2807613875896578E-2</v>
      </c>
      <c r="H392" s="102">
        <v>9.6528952028436185E-4</v>
      </c>
      <c r="I392" s="102">
        <v>1.3233789148653996E-3</v>
      </c>
      <c r="J392" s="102">
        <v>-1.2963731762802836E-2</v>
      </c>
      <c r="K392" s="102">
        <v>2.5647385458167422E-2</v>
      </c>
    </row>
    <row r="393" spans="1:11" x14ac:dyDescent="0.3">
      <c r="A393" s="4">
        <v>44873</v>
      </c>
      <c r="B393" s="102">
        <v>6.4711790100016372E-3</v>
      </c>
      <c r="C393" s="102">
        <v>1.2900385124055482E-3</v>
      </c>
      <c r="D393" s="102">
        <v>-6.236151599578664E-4</v>
      </c>
      <c r="E393" s="102">
        <v>8.4218330160950282E-3</v>
      </c>
      <c r="F393" s="102">
        <v>-1.5710919088766692E-2</v>
      </c>
      <c r="G393" s="102">
        <v>-1.9786463490159927E-2</v>
      </c>
      <c r="H393" s="102">
        <v>6.6507492069417275E-6</v>
      </c>
      <c r="I393" s="102">
        <v>-1.5418545576275476E-2</v>
      </c>
      <c r="J393" s="102">
        <v>1.1443459275613414E-2</v>
      </c>
      <c r="K393" s="102">
        <v>-1.5052173222922389E-2</v>
      </c>
    </row>
    <row r="394" spans="1:11" x14ac:dyDescent="0.3">
      <c r="A394" s="4">
        <v>44874</v>
      </c>
      <c r="B394" s="102">
        <v>6.2286835272327137E-3</v>
      </c>
      <c r="C394" s="102">
        <v>-7.0528131550707711E-3</v>
      </c>
      <c r="D394" s="102">
        <v>-2.0904726643491936E-3</v>
      </c>
      <c r="E394" s="102">
        <v>1.3467512083464977E-2</v>
      </c>
      <c r="F394" s="102">
        <v>9.5770151636073424E-3</v>
      </c>
      <c r="G394" s="102">
        <v>-1.4698806884378567E-2</v>
      </c>
      <c r="H394" s="102">
        <v>-2.1415270018621977E-3</v>
      </c>
      <c r="I394" s="102">
        <v>9.8434004474272415E-3</v>
      </c>
      <c r="J394" s="102">
        <v>-6.1711980461393061E-3</v>
      </c>
      <c r="K394" s="102">
        <v>-6.1621888094651215E-3</v>
      </c>
    </row>
    <row r="395" spans="1:11" x14ac:dyDescent="0.3">
      <c r="A395" s="4">
        <v>44875</v>
      </c>
      <c r="B395" s="102">
        <v>4.5926235487216988E-3</v>
      </c>
      <c r="C395" s="102">
        <v>-3.6197425126834794E-3</v>
      </c>
      <c r="D395" s="102">
        <v>2.3573986389031402E-3</v>
      </c>
      <c r="E395" s="102">
        <v>8.4563424529410305E-3</v>
      </c>
      <c r="F395" s="102">
        <v>5.1383399209486164E-3</v>
      </c>
      <c r="G395" s="102">
        <v>7.1135321148232209E-3</v>
      </c>
      <c r="H395" s="102">
        <v>-1.4329703141875808E-4</v>
      </c>
      <c r="I395" s="102">
        <v>-2.0824102791315854E-2</v>
      </c>
      <c r="J395" s="102">
        <v>-3.363606560451024E-3</v>
      </c>
      <c r="K395" s="102">
        <v>-1.1904761904761828E-2</v>
      </c>
    </row>
    <row r="396" spans="1:11" x14ac:dyDescent="0.3">
      <c r="A396" s="4">
        <v>44876</v>
      </c>
      <c r="B396" s="102">
        <v>2.0473009104743201E-2</v>
      </c>
      <c r="C396" s="102">
        <v>-5.689287316753504E-3</v>
      </c>
      <c r="D396" s="102">
        <v>-1.9151269921652675E-3</v>
      </c>
      <c r="E396" s="102">
        <v>1.6471227511478559E-2</v>
      </c>
      <c r="F396" s="102">
        <v>-2.2021234762092019E-2</v>
      </c>
      <c r="G396" s="102">
        <v>-1.4287996736519174E-2</v>
      </c>
      <c r="H396" s="102">
        <v>-1.6364866531347378E-3</v>
      </c>
      <c r="I396" s="102">
        <v>0</v>
      </c>
      <c r="J396" s="102">
        <v>4.413231589489133E-3</v>
      </c>
      <c r="K396" s="102">
        <v>5.0953790160642477E-2</v>
      </c>
    </row>
    <row r="397" spans="1:11" x14ac:dyDescent="0.3">
      <c r="A397" s="4">
        <v>44879</v>
      </c>
      <c r="B397" s="102">
        <v>7.7132835985263548E-2</v>
      </c>
      <c r="C397" s="102">
        <v>-5.2391068814307542E-3</v>
      </c>
      <c r="D397" s="102">
        <v>-3.4877207029648666E-3</v>
      </c>
      <c r="E397" s="102">
        <v>-6.0187459546958118E-3</v>
      </c>
      <c r="F397" s="102">
        <v>-3.1363088057901084E-2</v>
      </c>
      <c r="G397" s="102">
        <v>-1.6788264610644605E-3</v>
      </c>
      <c r="H397" s="102">
        <v>3.371814303169356E-4</v>
      </c>
      <c r="I397" s="102">
        <v>-2.1719411764706015E-2</v>
      </c>
      <c r="J397" s="102">
        <v>-1.0337109901761309E-3</v>
      </c>
      <c r="K397" s="102">
        <v>-6.9261286583742121E-3</v>
      </c>
    </row>
    <row r="398" spans="1:11" x14ac:dyDescent="0.3">
      <c r="A398" s="4">
        <v>44880</v>
      </c>
      <c r="B398" s="102">
        <v>1.2658266504608233E-2</v>
      </c>
      <c r="C398" s="102">
        <v>1.7325785414740024E-3</v>
      </c>
      <c r="D398" s="102">
        <v>1.6683972000478941E-3</v>
      </c>
      <c r="E398" s="102">
        <v>5.0390144260789201E-3</v>
      </c>
      <c r="F398" s="102">
        <v>1.2453300124533001E-2</v>
      </c>
      <c r="G398" s="102">
        <v>-3.8554735560927182E-3</v>
      </c>
      <c r="H398" s="102">
        <v>-8.5435000984516226E-4</v>
      </c>
      <c r="I398" s="102">
        <v>2.4514291188053143E-2</v>
      </c>
      <c r="J398" s="102">
        <v>-1.1645056516186084E-3</v>
      </c>
      <c r="K398" s="102">
        <v>2.0442471359188471E-2</v>
      </c>
    </row>
    <row r="399" spans="1:11" x14ac:dyDescent="0.3">
      <c r="A399" s="4">
        <v>44881</v>
      </c>
      <c r="B399" s="102">
        <v>4.1071178371004718E-3</v>
      </c>
      <c r="C399" s="102">
        <v>3.3204832213392195E-3</v>
      </c>
      <c r="D399" s="102">
        <v>-3.6068947908658206E-3</v>
      </c>
      <c r="E399" s="102">
        <v>8.7212118739268766E-3</v>
      </c>
      <c r="F399" s="102">
        <v>-3.9360393603936041E-2</v>
      </c>
      <c r="G399" s="102">
        <v>-3.499777730880213E-3</v>
      </c>
      <c r="H399" s="102">
        <v>1.2057971789022615E-3</v>
      </c>
      <c r="I399" s="102">
        <v>-4.5147178329570607E-3</v>
      </c>
      <c r="J399" s="102">
        <v>-9.5841796634386286E-3</v>
      </c>
      <c r="K399" s="102">
        <v>-8.4845628093330062E-3</v>
      </c>
    </row>
    <row r="400" spans="1:11" x14ac:dyDescent="0.3">
      <c r="A400" s="4">
        <v>44882</v>
      </c>
      <c r="B400" s="102">
        <v>2.9877308611485309E-2</v>
      </c>
      <c r="C400" s="102">
        <v>-2.0684767210431949E-3</v>
      </c>
      <c r="D400" s="102">
        <v>-1.9355882047471403E-3</v>
      </c>
      <c r="E400" s="102">
        <v>1.5495803210732222E-2</v>
      </c>
      <c r="F400" s="102">
        <v>-2.6461801109688432E-2</v>
      </c>
      <c r="G400" s="102">
        <v>2.512189860140655E-2</v>
      </c>
      <c r="H400" s="102">
        <v>-4.0734216742063512E-3</v>
      </c>
      <c r="I400" s="102">
        <v>1.5419501833083977E-2</v>
      </c>
      <c r="J400" s="102">
        <v>-3.1384650732913968E-3</v>
      </c>
      <c r="K400" s="102">
        <v>2.0204373662942698E-2</v>
      </c>
    </row>
    <row r="401" spans="1:11" x14ac:dyDescent="0.3">
      <c r="A401" s="4">
        <v>44883</v>
      </c>
      <c r="B401" s="102">
        <v>-5.1805803412986371E-4</v>
      </c>
      <c r="C401" s="102">
        <v>-1.3749685117066313E-2</v>
      </c>
      <c r="D401" s="102">
        <v>-5.8055171342934917E-3</v>
      </c>
      <c r="E401" s="102">
        <v>1.2749811723865823E-3</v>
      </c>
      <c r="F401" s="102">
        <v>8.3296799649276634E-3</v>
      </c>
      <c r="G401" s="102">
        <v>-4.1676786577748023E-2</v>
      </c>
      <c r="H401" s="102">
        <v>-5.5974836446953816E-3</v>
      </c>
      <c r="I401" s="102">
        <v>-1.1612327450304844E-2</v>
      </c>
      <c r="J401" s="102">
        <v>-7.8703279772413687E-4</v>
      </c>
      <c r="K401" s="102">
        <v>-1.863886386947088E-3</v>
      </c>
    </row>
    <row r="402" spans="1:11" x14ac:dyDescent="0.3">
      <c r="A402" s="4">
        <v>44887</v>
      </c>
      <c r="B402" s="102">
        <v>6.9108460500413409E-3</v>
      </c>
      <c r="C402" s="102">
        <v>1.9617703090318048E-3</v>
      </c>
      <c r="D402" s="102">
        <v>-5.510204972595257E-4</v>
      </c>
      <c r="E402" s="102">
        <v>-6.2848971180327843E-3</v>
      </c>
      <c r="F402" s="102">
        <v>4.3478260869565219E-4</v>
      </c>
      <c r="G402" s="102">
        <v>-1.3669246586247614E-2</v>
      </c>
      <c r="H402" s="102">
        <v>2.2165629126579991E-3</v>
      </c>
      <c r="I402" s="102">
        <v>-3.1631271198882694E-3</v>
      </c>
      <c r="J402" s="102">
        <v>2.8882391109824913E-3</v>
      </c>
      <c r="K402" s="102">
        <v>-1.5639635854341822E-2</v>
      </c>
    </row>
    <row r="403" spans="1:11" x14ac:dyDescent="0.3">
      <c r="A403" s="4">
        <v>44888</v>
      </c>
      <c r="B403" s="102">
        <v>5.1476906758977448E-4</v>
      </c>
      <c r="C403" s="102">
        <v>-2.3075049871897598E-3</v>
      </c>
      <c r="D403" s="102">
        <v>1.8947055839505387E-3</v>
      </c>
      <c r="E403" s="102">
        <v>-4.2247026894694326E-2</v>
      </c>
      <c r="F403" s="102">
        <v>-2.5206431986093004E-2</v>
      </c>
      <c r="G403" s="102">
        <v>3.5819837870876424E-3</v>
      </c>
      <c r="H403" s="102">
        <v>3.2603507734089965E-3</v>
      </c>
      <c r="I403" s="102">
        <v>6.7996376609082611E-3</v>
      </c>
      <c r="J403" s="102">
        <v>5.2366102116101481E-4</v>
      </c>
      <c r="K403" s="102">
        <v>1.991937490725049E-2</v>
      </c>
    </row>
    <row r="404" spans="1:11" x14ac:dyDescent="0.3">
      <c r="A404" s="4">
        <v>44889</v>
      </c>
      <c r="B404" s="102">
        <v>-2.8983026494270363E-2</v>
      </c>
      <c r="C404" s="102">
        <v>5.6072152116790931E-4</v>
      </c>
      <c r="D404" s="102">
        <v>-2.4034779894973476E-3</v>
      </c>
      <c r="E404" s="102">
        <v>5.1360973038918831E-3</v>
      </c>
      <c r="F404" s="102">
        <v>-6.6874721355327689E-3</v>
      </c>
      <c r="G404" s="102">
        <v>-2.0820267155633575E-3</v>
      </c>
      <c r="H404" s="102">
        <v>9.7157636590232725E-4</v>
      </c>
      <c r="I404" s="102">
        <v>5.8532645589043043E-3</v>
      </c>
      <c r="J404" s="102">
        <v>3.1400939752654444E-3</v>
      </c>
      <c r="K404" s="102">
        <v>2.6738015658591602E-2</v>
      </c>
    </row>
    <row r="405" spans="1:11" x14ac:dyDescent="0.3">
      <c r="A405" s="4">
        <v>44890</v>
      </c>
      <c r="B405" s="102">
        <v>-5.4750537750981303E-3</v>
      </c>
      <c r="C405" s="102">
        <v>2.8014813806739999E-3</v>
      </c>
      <c r="D405" s="102">
        <v>-4.6283706776336659E-3</v>
      </c>
      <c r="E405" s="102">
        <v>-3.0060977778065007E-4</v>
      </c>
      <c r="F405" s="102">
        <v>1.2567324955116697E-2</v>
      </c>
      <c r="G405" s="102">
        <v>-1.984162471326914E-2</v>
      </c>
      <c r="H405" s="102">
        <v>-3.1662728349857237E-3</v>
      </c>
      <c r="I405" s="102">
        <v>1.7904655326768878E-3</v>
      </c>
      <c r="J405" s="102">
        <v>-5.2174860417099139E-4</v>
      </c>
      <c r="K405" s="102">
        <v>2.4909420289856554E-3</v>
      </c>
    </row>
    <row r="406" spans="1:11" x14ac:dyDescent="0.3">
      <c r="A406" s="4">
        <v>44893</v>
      </c>
      <c r="B406" s="102">
        <v>-1.7581285084620781E-2</v>
      </c>
      <c r="C406" s="102">
        <v>-6.4258386842545416E-3</v>
      </c>
      <c r="D406" s="102">
        <v>-3.0579044499994099E-4</v>
      </c>
      <c r="E406" s="102">
        <v>-7.3879932740769294E-3</v>
      </c>
      <c r="F406" s="102">
        <v>1.3297872340425532E-2</v>
      </c>
      <c r="G406" s="102">
        <v>1.1902715185526247E-2</v>
      </c>
      <c r="H406" s="102">
        <v>1.5713767677988698E-3</v>
      </c>
      <c r="I406" s="102">
        <v>-3.1277928117870012E-3</v>
      </c>
      <c r="J406" s="102">
        <v>-8.0906570803677535E-3</v>
      </c>
      <c r="K406" s="102">
        <v>2.4621662525412102E-2</v>
      </c>
    </row>
    <row r="407" spans="1:11" x14ac:dyDescent="0.3">
      <c r="A407" s="4">
        <v>44894</v>
      </c>
      <c r="B407" s="102">
        <v>4.5372402615451106E-2</v>
      </c>
      <c r="C407" s="102">
        <v>-1.2302258977988352E-2</v>
      </c>
      <c r="D407" s="102">
        <v>-2.083450072124422E-3</v>
      </c>
      <c r="E407" s="102">
        <v>2.2545422996996196E-2</v>
      </c>
      <c r="F407" s="102">
        <v>1.4873140857392825E-2</v>
      </c>
      <c r="G407" s="102">
        <v>-2.4040551008495222E-2</v>
      </c>
      <c r="H407" s="102">
        <v>-3.1545847078069834E-3</v>
      </c>
      <c r="I407" s="102">
        <v>-1.344598894872323E-3</v>
      </c>
      <c r="J407" s="102">
        <v>-2.4997642195605527E-3</v>
      </c>
      <c r="K407" s="102">
        <v>-1.719574477081684E-2</v>
      </c>
    </row>
    <row r="408" spans="1:11" x14ac:dyDescent="0.3">
      <c r="A408" s="4">
        <v>44895</v>
      </c>
      <c r="B408" s="102">
        <v>3.6313528696789205E-3</v>
      </c>
      <c r="C408" s="102">
        <v>-4.2701486412629068E-4</v>
      </c>
      <c r="D408" s="102">
        <v>1.8899496122003613E-3</v>
      </c>
      <c r="E408" s="102">
        <v>-5.2899750819720426E-3</v>
      </c>
      <c r="F408" s="102">
        <v>-2.7586206896551724E-2</v>
      </c>
      <c r="G408" s="102">
        <v>-3.0878812015110658E-2</v>
      </c>
      <c r="H408" s="102">
        <v>1.8530039851356547E-3</v>
      </c>
      <c r="I408" s="102">
        <v>-8.9771091123366873E-4</v>
      </c>
      <c r="J408" s="102">
        <v>1.6618195977692742E-2</v>
      </c>
      <c r="K408" s="102">
        <v>-4.5087526016710365E-2</v>
      </c>
    </row>
    <row r="409" spans="1:11" x14ac:dyDescent="0.3">
      <c r="A409" s="4">
        <v>44896</v>
      </c>
      <c r="B409" s="102">
        <v>-1.2749863266136245E-2</v>
      </c>
      <c r="C409" s="102">
        <v>-7.5477524555668009E-3</v>
      </c>
      <c r="D409" s="102">
        <v>2.1985814480935456E-3</v>
      </c>
      <c r="E409" s="102">
        <v>1.744389854501116E-3</v>
      </c>
      <c r="F409" s="102">
        <v>-1.551418439716312E-2</v>
      </c>
      <c r="G409" s="102">
        <v>2.2784989290600421E-2</v>
      </c>
      <c r="H409" s="102">
        <v>2.3329506622893764E-3</v>
      </c>
      <c r="I409" s="102">
        <v>-1.1680143755615524E-2</v>
      </c>
      <c r="J409" s="102">
        <v>-1.9460160380012016E-2</v>
      </c>
      <c r="K409" s="102">
        <v>-1.6443504815597905E-3</v>
      </c>
    </row>
    <row r="410" spans="1:11" x14ac:dyDescent="0.3">
      <c r="A410" s="4">
        <v>44897</v>
      </c>
      <c r="B410" s="102">
        <v>-1.7450673037756382E-4</v>
      </c>
      <c r="C410" s="102">
        <v>-1.6716738995334549E-2</v>
      </c>
      <c r="D410" s="102">
        <v>-1.9012726871489171E-3</v>
      </c>
      <c r="E410" s="102">
        <v>-2.038597475575249E-3</v>
      </c>
      <c r="F410" s="102">
        <v>-3.1517334533993696E-3</v>
      </c>
      <c r="G410" s="102">
        <v>1.7706603669239408E-2</v>
      </c>
      <c r="H410" s="102">
        <v>-1.2592054279790636E-3</v>
      </c>
      <c r="I410" s="102">
        <v>0</v>
      </c>
      <c r="J410" s="102">
        <v>0</v>
      </c>
      <c r="K410" s="102">
        <v>7.2705882352941259E-2</v>
      </c>
    </row>
    <row r="411" spans="1:11" x14ac:dyDescent="0.3">
      <c r="A411" s="4">
        <v>44900</v>
      </c>
      <c r="B411" s="102">
        <v>1.2043983865689011E-2</v>
      </c>
      <c r="C411" s="102">
        <v>-9.6316421152293549E-3</v>
      </c>
      <c r="D411" s="102">
        <v>-1.6119297308672376E-3</v>
      </c>
      <c r="E411" s="102">
        <v>-1.3651149461977636E-2</v>
      </c>
      <c r="F411" s="102">
        <v>-7.6784101174345075E-3</v>
      </c>
      <c r="G411" s="102">
        <v>-3.2355112437490931E-2</v>
      </c>
      <c r="H411" s="102">
        <v>-3.946684550255773E-3</v>
      </c>
      <c r="I411" s="102">
        <v>-1.9090909090909169E-2</v>
      </c>
      <c r="J411" s="102">
        <v>-6.8801983971034089E-3</v>
      </c>
      <c r="K411" s="102">
        <v>-2.8515003290195365E-2</v>
      </c>
    </row>
    <row r="412" spans="1:11" x14ac:dyDescent="0.3">
      <c r="A412" s="4">
        <v>44901</v>
      </c>
      <c r="B412" s="102">
        <v>2.3456367590571757E-2</v>
      </c>
      <c r="C412" s="102">
        <v>6.5571697433556026E-3</v>
      </c>
      <c r="D412" s="102">
        <v>-1.1868955605022322E-3</v>
      </c>
      <c r="E412" s="102">
        <v>-3.496901470819417E-2</v>
      </c>
      <c r="F412" s="102">
        <v>2.1392808375056895E-2</v>
      </c>
      <c r="G412" s="102">
        <v>1.7619768958230551E-2</v>
      </c>
      <c r="H412" s="102">
        <v>1.8683849074898294E-3</v>
      </c>
      <c r="I412" s="102">
        <v>1.4828544949026891E-2</v>
      </c>
      <c r="J412" s="102">
        <v>-8.5265739209311308E-3</v>
      </c>
      <c r="K412" s="102">
        <v>-1.5579204886448237E-2</v>
      </c>
    </row>
    <row r="413" spans="1:11" x14ac:dyDescent="0.3">
      <c r="A413" s="4">
        <v>44902</v>
      </c>
      <c r="B413" s="102">
        <v>-1.7526195265777509E-2</v>
      </c>
      <c r="C413" s="102">
        <v>7.3195396686065632E-3</v>
      </c>
      <c r="D413" s="102">
        <v>1.9933586889501671E-3</v>
      </c>
      <c r="E413" s="102">
        <v>-1.2588391205734554E-3</v>
      </c>
      <c r="F413" s="102">
        <v>-5.3475935828877002E-3</v>
      </c>
      <c r="G413" s="102">
        <v>2.7455481391425146E-2</v>
      </c>
      <c r="H413" s="102">
        <v>1.5557638867886713E-3</v>
      </c>
      <c r="I413" s="102">
        <v>-4.5662557077625066E-3</v>
      </c>
      <c r="J413" s="102">
        <v>9.137314657494235E-3</v>
      </c>
      <c r="K413" s="102">
        <v>1.6743211777211574E-2</v>
      </c>
    </row>
    <row r="414" spans="1:11" x14ac:dyDescent="0.3">
      <c r="A414" s="4">
        <v>44903</v>
      </c>
      <c r="B414" s="102">
        <v>7.7187313420757943E-3</v>
      </c>
      <c r="C414" s="102">
        <v>1.1771483794176507E-2</v>
      </c>
      <c r="D414" s="102">
        <v>-4.2848104956248771E-3</v>
      </c>
      <c r="E414" s="102">
        <v>-2.2957073749705612E-3</v>
      </c>
      <c r="F414" s="102">
        <v>-4.4802867383512543E-3</v>
      </c>
      <c r="G414" s="102">
        <v>1.2412679727391058E-2</v>
      </c>
      <c r="H414" s="102">
        <v>3.3549616527883863E-3</v>
      </c>
      <c r="I414" s="102">
        <v>-5.5045415369055738E-3</v>
      </c>
      <c r="J414" s="102">
        <v>6.5246343261387693E-3</v>
      </c>
      <c r="K414" s="102">
        <v>-1.3534896750061132E-2</v>
      </c>
    </row>
    <row r="415" spans="1:11" x14ac:dyDescent="0.3">
      <c r="A415" s="4">
        <v>44904</v>
      </c>
      <c r="B415" s="102">
        <v>-1.9744652507875667E-2</v>
      </c>
      <c r="C415" s="102">
        <v>3.0164667033864175E-3</v>
      </c>
      <c r="D415" s="102">
        <v>-1.0438141752856158E-3</v>
      </c>
      <c r="E415" s="102">
        <v>8.9785815030881434E-3</v>
      </c>
      <c r="F415" s="102">
        <v>-2.4302430243024302E-2</v>
      </c>
      <c r="G415" s="102">
        <v>-8.5993573929166699E-3</v>
      </c>
      <c r="H415" s="102">
        <v>2.5211826152087172E-3</v>
      </c>
      <c r="I415" s="102">
        <v>0</v>
      </c>
      <c r="J415" s="102">
        <v>0</v>
      </c>
      <c r="K415" s="102">
        <v>-1.7379350560255968E-2</v>
      </c>
    </row>
    <row r="416" spans="1:11" x14ac:dyDescent="0.3">
      <c r="A416" s="4">
        <v>44908</v>
      </c>
      <c r="B416" s="102">
        <v>-3.559645857208716E-2</v>
      </c>
      <c r="C416" s="102">
        <v>-9.3075625915657828E-4</v>
      </c>
      <c r="D416" s="102">
        <v>2.5004472675956544E-4</v>
      </c>
      <c r="E416" s="102">
        <v>-4.4270066191550664E-3</v>
      </c>
      <c r="F416" s="102">
        <v>-3.136531365313653E-2</v>
      </c>
      <c r="G416" s="102">
        <v>-4.251142127895533E-3</v>
      </c>
      <c r="H416" s="102">
        <v>1.4808885331197975E-3</v>
      </c>
      <c r="I416" s="102">
        <v>1.8449723247233245E-3</v>
      </c>
      <c r="J416" s="102">
        <v>2.7782422009566313E-3</v>
      </c>
      <c r="K416" s="102">
        <v>1.2566837035912557E-2</v>
      </c>
    </row>
    <row r="417" spans="1:11" x14ac:dyDescent="0.3">
      <c r="A417" s="4">
        <v>44909</v>
      </c>
      <c r="B417" s="102">
        <v>2.394669545893599E-2</v>
      </c>
      <c r="C417" s="102">
        <v>-1.0751768910278068E-3</v>
      </c>
      <c r="D417" s="102">
        <v>-4.9996444004747609E-4</v>
      </c>
      <c r="E417" s="102">
        <v>-8.8034969580463619E-3</v>
      </c>
      <c r="F417" s="102">
        <v>2.0952380952380951E-2</v>
      </c>
      <c r="G417" s="102">
        <v>1.4705265490988316E-2</v>
      </c>
      <c r="H417" s="102">
        <v>7.7265339834282486E-4</v>
      </c>
      <c r="I417" s="102">
        <v>-1.0589273047388397E-2</v>
      </c>
      <c r="J417" s="102">
        <v>-1.7150844676297793E-3</v>
      </c>
      <c r="K417" s="102">
        <v>1.8616456842861659E-2</v>
      </c>
    </row>
    <row r="418" spans="1:11" x14ac:dyDescent="0.3">
      <c r="A418" s="4">
        <v>44910</v>
      </c>
      <c r="B418" s="102">
        <v>5.2751770646961406E-3</v>
      </c>
      <c r="C418" s="102">
        <v>-7.2463397841971639E-3</v>
      </c>
      <c r="D418" s="102">
        <v>-1.6799077609385234E-3</v>
      </c>
      <c r="E418" s="102">
        <v>1.4545938917245328E-2</v>
      </c>
      <c r="F418" s="102">
        <v>6.5298507462686565E-3</v>
      </c>
      <c r="G418" s="102">
        <v>3.6251588998067304E-2</v>
      </c>
      <c r="H418" s="102">
        <v>3.174751078217308E-3</v>
      </c>
      <c r="I418" s="102">
        <v>-2.1870637505816609E-2</v>
      </c>
      <c r="J418" s="102">
        <v>5.2862066765131718E-3</v>
      </c>
      <c r="K418" s="102">
        <v>-1.7599255415162537E-2</v>
      </c>
    </row>
    <row r="419" spans="1:11" x14ac:dyDescent="0.3">
      <c r="A419" s="4">
        <v>44911</v>
      </c>
      <c r="B419" s="102">
        <v>1.2419107108895227E-2</v>
      </c>
      <c r="C419" s="102">
        <v>1.0840400329321938E-2</v>
      </c>
      <c r="D419" s="102">
        <v>2.7361178113374978E-3</v>
      </c>
      <c r="E419" s="102">
        <v>-4.3770301183096716E-3</v>
      </c>
      <c r="F419" s="102">
        <v>2.8730305838739572E-2</v>
      </c>
      <c r="G419" s="102">
        <v>1.4518283111033979E-2</v>
      </c>
      <c r="H419" s="102">
        <v>5.6394095206503062E-4</v>
      </c>
      <c r="I419" s="102">
        <v>-4.7573739295899195E-4</v>
      </c>
      <c r="J419" s="102">
        <v>6.9670835988131837E-3</v>
      </c>
      <c r="K419" s="102">
        <v>7.1198206908631625E-3</v>
      </c>
    </row>
    <row r="420" spans="1:11" x14ac:dyDescent="0.3">
      <c r="A420" s="4">
        <v>44914</v>
      </c>
      <c r="B420" s="102">
        <v>3.0234999515515813E-2</v>
      </c>
      <c r="C420" s="102">
        <v>4.8617069292995491E-3</v>
      </c>
      <c r="D420" s="102">
        <v>-2.9271294913906887E-3</v>
      </c>
      <c r="E420" s="102">
        <v>-2.0097853334981548E-2</v>
      </c>
      <c r="F420" s="102">
        <v>7.2072072072072073E-3</v>
      </c>
      <c r="G420" s="102">
        <v>1.2127178156754081E-4</v>
      </c>
      <c r="H420" s="102">
        <v>7.5591804257006754E-4</v>
      </c>
      <c r="I420" s="102">
        <v>2.5226130414088461E-2</v>
      </c>
      <c r="J420" s="102">
        <v>-4.569091838473328E-3</v>
      </c>
      <c r="K420" s="102">
        <v>-3.4206843065306193E-3</v>
      </c>
    </row>
    <row r="421" spans="1:11" x14ac:dyDescent="0.3">
      <c r="A421" s="4">
        <v>44915</v>
      </c>
      <c r="B421" s="102">
        <v>-3.3540194888460002E-2</v>
      </c>
      <c r="C421" s="102">
        <v>8.0398452855228175E-3</v>
      </c>
      <c r="D421" s="102">
        <v>-8.4807307028076013E-4</v>
      </c>
      <c r="E421" s="102">
        <v>5.6767833324565357E-3</v>
      </c>
      <c r="F421" s="102">
        <v>5.3667262969588547E-3</v>
      </c>
      <c r="G421" s="102">
        <v>5.7397454908588701E-3</v>
      </c>
      <c r="H421" s="102">
        <v>-2.6635922716068436E-3</v>
      </c>
      <c r="I421" s="102">
        <v>4.6424324678536162E-3</v>
      </c>
      <c r="J421" s="102">
        <v>-1.2721350540865433E-2</v>
      </c>
      <c r="K421" s="102">
        <v>-1.7620159779859059E-2</v>
      </c>
    </row>
    <row r="422" spans="1:11" x14ac:dyDescent="0.3">
      <c r="A422" s="4">
        <v>44916</v>
      </c>
      <c r="B422" s="102">
        <v>4.3380202870736996E-3</v>
      </c>
      <c r="C422" s="102">
        <v>2.1245182902244201E-2</v>
      </c>
      <c r="D422" s="102">
        <v>-4.9503689280683673E-4</v>
      </c>
      <c r="E422" s="102">
        <v>4.3292269190020188E-2</v>
      </c>
      <c r="F422" s="102">
        <v>2.9359430604982206E-2</v>
      </c>
      <c r="G422" s="102">
        <v>2.7288778269345549E-2</v>
      </c>
      <c r="H422" s="102">
        <v>1.2024820292050925E-3</v>
      </c>
      <c r="I422" s="102">
        <v>2.3567514952288076E-2</v>
      </c>
      <c r="J422" s="102">
        <v>-6.6419264767353658E-3</v>
      </c>
      <c r="K422" s="102">
        <v>-2.0498509201024924E-2</v>
      </c>
    </row>
    <row r="423" spans="1:11" x14ac:dyDescent="0.3">
      <c r="A423" s="4">
        <v>44917</v>
      </c>
      <c r="B423" s="102">
        <v>-4.1465251015101604E-3</v>
      </c>
      <c r="C423" s="102">
        <v>9.0536361064038357E-3</v>
      </c>
      <c r="D423" s="102">
        <v>-1.8474530160014564E-2</v>
      </c>
      <c r="E423" s="102">
        <v>2.5394856776270746E-2</v>
      </c>
      <c r="F423" s="102">
        <v>-1.5557476231633534E-2</v>
      </c>
      <c r="G423" s="102">
        <v>-1.7331121562806202E-2</v>
      </c>
      <c r="H423" s="102">
        <v>-7.5977253273005422E-4</v>
      </c>
      <c r="I423" s="102">
        <v>1.0383702031602843E-2</v>
      </c>
      <c r="J423" s="102">
        <v>1.0359222990378704E-2</v>
      </c>
      <c r="K423" s="102">
        <v>5.422123791251459E-2</v>
      </c>
    </row>
    <row r="424" spans="1:11" x14ac:dyDescent="0.3">
      <c r="A424" s="4">
        <v>44918</v>
      </c>
      <c r="B424" s="102">
        <v>-1.9604487372687437E-2</v>
      </c>
      <c r="C424" s="102">
        <v>5.5480180193765083E-3</v>
      </c>
      <c r="D424" s="102">
        <v>2.2479382679985883E-3</v>
      </c>
      <c r="E424" s="102">
        <v>1.9914883293979339E-2</v>
      </c>
      <c r="F424" s="102">
        <v>1.1852502194907815E-2</v>
      </c>
      <c r="G424" s="102">
        <v>1.5208245507037673E-2</v>
      </c>
      <c r="H424" s="102">
        <v>-2.2246054645605357E-4</v>
      </c>
      <c r="I424" s="102">
        <v>5.2725650255837794E-2</v>
      </c>
      <c r="J424" s="102">
        <v>-2.7961928703375441E-3</v>
      </c>
      <c r="K424" s="102">
        <v>2.3460341824482651E-2</v>
      </c>
    </row>
    <row r="425" spans="1:11" x14ac:dyDescent="0.3">
      <c r="A425" s="4">
        <v>44921</v>
      </c>
      <c r="B425" s="102">
        <v>1.9466242362949678E-3</v>
      </c>
      <c r="C425" s="102">
        <v>1.0421628713463294E-2</v>
      </c>
      <c r="D425" s="102">
        <v>-9.4750581312353019E-3</v>
      </c>
      <c r="E425" s="102">
        <v>1.4603487631021266E-3</v>
      </c>
      <c r="F425" s="102">
        <v>-6.5075921908893707E-3</v>
      </c>
      <c r="G425" s="102">
        <v>-7.9999725490196467E-3</v>
      </c>
      <c r="H425" s="102">
        <v>-4.4834113779016388E-4</v>
      </c>
      <c r="I425" s="102">
        <v>-2.8013541087162298E-2</v>
      </c>
      <c r="J425" s="102">
        <v>8.1451790536444194E-3</v>
      </c>
      <c r="K425" s="102">
        <v>-1.5428697717185377E-3</v>
      </c>
    </row>
    <row r="426" spans="1:11" x14ac:dyDescent="0.3">
      <c r="A426" s="4">
        <v>44922</v>
      </c>
      <c r="B426" s="102">
        <v>1.448246195512827E-2</v>
      </c>
      <c r="C426" s="102">
        <v>1.1594974809351235E-2</v>
      </c>
      <c r="D426" s="102">
        <v>-5.8555639594996102E-3</v>
      </c>
      <c r="E426" s="102">
        <v>8.7492121048669033E-4</v>
      </c>
      <c r="F426" s="102">
        <v>-6.9868995633187774E-3</v>
      </c>
      <c r="G426" s="102">
        <v>1.9489278398067151E-2</v>
      </c>
      <c r="H426" s="102">
        <v>-1.9935210565659404E-4</v>
      </c>
      <c r="I426" s="102">
        <v>-1.7467248908296883E-2</v>
      </c>
      <c r="J426" s="102">
        <v>-4.7681662672619095E-3</v>
      </c>
      <c r="K426" s="102">
        <v>1.9426071069008191E-2</v>
      </c>
    </row>
    <row r="427" spans="1:11" x14ac:dyDescent="0.3">
      <c r="A427" s="4">
        <v>44923</v>
      </c>
      <c r="B427" s="102">
        <v>1.2186755129882981E-3</v>
      </c>
      <c r="C427" s="102">
        <v>-8.7297483366696477E-3</v>
      </c>
      <c r="D427" s="102">
        <v>-3.9378305952857597E-3</v>
      </c>
      <c r="E427" s="102">
        <v>4.6203484159518318E-3</v>
      </c>
      <c r="F427" s="102">
        <v>-1.4511873350923483E-2</v>
      </c>
      <c r="G427" s="102">
        <v>-2.2063739071092027E-2</v>
      </c>
      <c r="H427" s="102">
        <v>-2.0603825000417559E-4</v>
      </c>
      <c r="I427" s="102">
        <v>-2.2221777777777637E-3</v>
      </c>
      <c r="J427" s="102">
        <v>1.3574823436040143E-2</v>
      </c>
      <c r="K427" s="102">
        <v>4.3310957124297533E-4</v>
      </c>
    </row>
    <row r="428" spans="1:11" x14ac:dyDescent="0.3">
      <c r="A428" s="4">
        <v>44924</v>
      </c>
      <c r="B428" s="102">
        <v>-2.1387586391418335E-2</v>
      </c>
      <c r="C428" s="102">
        <v>-8.2017329328283751E-3</v>
      </c>
      <c r="D428" s="102">
        <v>4.5393616174224674E-2</v>
      </c>
      <c r="E428" s="102">
        <v>1.6572844707553446E-3</v>
      </c>
      <c r="F428" s="102">
        <v>5.3547523427041497E-3</v>
      </c>
      <c r="G428" s="102">
        <v>8.2989723429695308E-2</v>
      </c>
      <c r="H428" s="102">
        <v>-1.9411473377363921E-3</v>
      </c>
      <c r="I428" s="102">
        <v>-2.8507882917243481E-2</v>
      </c>
      <c r="J428" s="102">
        <v>-3.4139984128599261E-3</v>
      </c>
      <c r="K428" s="102">
        <v>-8.4415625878449668E-2</v>
      </c>
    </row>
    <row r="429" spans="1:11" x14ac:dyDescent="0.3">
      <c r="A429" s="4">
        <v>44925</v>
      </c>
      <c r="B429" s="102">
        <v>8.2800320516535089E-2</v>
      </c>
      <c r="C429" s="102">
        <v>6.2359263019491854E-3</v>
      </c>
      <c r="D429" s="102">
        <v>8.2138499587642716E-3</v>
      </c>
      <c r="E429" s="102">
        <v>1.9442105703536203E-3</v>
      </c>
      <c r="F429" s="102">
        <v>1.4203284509542832E-2</v>
      </c>
      <c r="G429" s="102">
        <v>5.792116102366722E-2</v>
      </c>
      <c r="H429" s="102">
        <v>2.501090688682598E-3</v>
      </c>
      <c r="I429" s="102">
        <v>1.1921183490196356E-2</v>
      </c>
      <c r="J429" s="102">
        <v>1.2911660968192218E-2</v>
      </c>
      <c r="K429" s="102">
        <v>-4.5153665370062934E-2</v>
      </c>
    </row>
    <row r="430" spans="1:11" x14ac:dyDescent="0.3">
      <c r="A430" s="4">
        <v>44928</v>
      </c>
      <c r="B430" s="102">
        <v>3.1506381700053258E-2</v>
      </c>
      <c r="C430" s="102">
        <v>6.5343843477387335E-3</v>
      </c>
      <c r="D430" s="102">
        <v>-6.0089995286109615E-3</v>
      </c>
      <c r="E430" s="102">
        <v>5.3670336038762027E-3</v>
      </c>
      <c r="F430" s="102">
        <v>4.9890590809628009E-2</v>
      </c>
      <c r="G430" s="102">
        <v>1.5573005063587858E-3</v>
      </c>
      <c r="H430" s="102">
        <v>1.9699687728389373E-3</v>
      </c>
      <c r="I430" s="102">
        <v>-1.4046216583597585E-2</v>
      </c>
      <c r="J430" s="102">
        <v>-8.9748848569379865E-3</v>
      </c>
      <c r="K430" s="102">
        <v>1.8321416645739379E-2</v>
      </c>
    </row>
    <row r="431" spans="1:11" x14ac:dyDescent="0.3">
      <c r="A431" s="4">
        <v>44929</v>
      </c>
      <c r="B431" s="102">
        <v>-1.3999339808129877E-2</v>
      </c>
      <c r="C431" s="102">
        <v>2.4761407480050931E-3</v>
      </c>
      <c r="D431" s="102">
        <v>-5.3389860211148004E-3</v>
      </c>
      <c r="E431" s="102">
        <v>5.3378896191778435E-4</v>
      </c>
      <c r="F431" s="102">
        <v>1.0004168403501459E-2</v>
      </c>
      <c r="G431" s="102">
        <v>3.9910221974641863E-2</v>
      </c>
      <c r="H431" s="102">
        <v>6.3259872750843658E-3</v>
      </c>
      <c r="I431" s="102">
        <v>-1.1029411764705973E-2</v>
      </c>
      <c r="J431" s="102">
        <v>-3.1500869853656279E-3</v>
      </c>
      <c r="K431" s="102">
        <v>8.7527593301054609E-3</v>
      </c>
    </row>
    <row r="432" spans="1:11" x14ac:dyDescent="0.3">
      <c r="A432" s="4">
        <v>44930</v>
      </c>
      <c r="B432" s="102">
        <v>1.5004851974795163E-2</v>
      </c>
      <c r="C432" s="102">
        <v>-4.6727977379572213E-4</v>
      </c>
      <c r="D432" s="102">
        <v>-5.7574627804947908E-4</v>
      </c>
      <c r="E432" s="102">
        <v>-4.1452619579745512E-3</v>
      </c>
      <c r="F432" s="102">
        <v>2.1048287247214196E-2</v>
      </c>
      <c r="G432" s="102">
        <v>-9.1377301556645231E-3</v>
      </c>
      <c r="H432" s="102">
        <v>-1.3508126291097533E-4</v>
      </c>
      <c r="I432" s="102">
        <v>-1.3940520446097183E-3</v>
      </c>
      <c r="J432" s="102">
        <v>4.2132143607227996E-3</v>
      </c>
      <c r="K432" s="102">
        <v>1.156902812393228E-2</v>
      </c>
    </row>
    <row r="433" spans="1:11" x14ac:dyDescent="0.3">
      <c r="A433" s="4">
        <v>44931</v>
      </c>
      <c r="B433" s="102">
        <v>7.788936351123146E-3</v>
      </c>
      <c r="C433" s="102">
        <v>3.0723590121458717E-3</v>
      </c>
      <c r="D433" s="102">
        <v>-1.587570046069189E-3</v>
      </c>
      <c r="E433" s="102">
        <v>4.6570621434919692E-3</v>
      </c>
      <c r="F433" s="102">
        <v>-3.1932093775262731E-2</v>
      </c>
      <c r="G433" s="102">
        <v>-4.0249830707585036E-4</v>
      </c>
      <c r="H433" s="102">
        <v>-1.0379596678529749E-3</v>
      </c>
      <c r="I433" s="102">
        <v>1.3029315960912106E-2</v>
      </c>
      <c r="J433" s="102">
        <v>1.3111410388021605E-2</v>
      </c>
      <c r="K433" s="102">
        <v>3.3357111428231716E-2</v>
      </c>
    </row>
    <row r="434" spans="1:11" x14ac:dyDescent="0.3">
      <c r="A434" s="4">
        <v>44932</v>
      </c>
      <c r="B434" s="102">
        <v>-3.4542656977428726E-2</v>
      </c>
      <c r="C434" s="102">
        <v>7.3246683367922697E-3</v>
      </c>
      <c r="D434" s="102">
        <v>-2.667192267031532E-3</v>
      </c>
      <c r="E434" s="102">
        <v>2.0388169070672191E-2</v>
      </c>
      <c r="F434" s="102">
        <v>1.8789144050104383E-2</v>
      </c>
      <c r="G434" s="102">
        <v>-1.5432018923162481E-2</v>
      </c>
      <c r="H434" s="102">
        <v>-2.3419589992248065E-3</v>
      </c>
      <c r="I434" s="102">
        <v>1.0564997703261388E-2</v>
      </c>
      <c r="J434" s="102">
        <v>2.5889746550296632E-4</v>
      </c>
      <c r="K434" s="102">
        <v>-2.0059926678808546E-2</v>
      </c>
    </row>
    <row r="435" spans="1:11" x14ac:dyDescent="0.3">
      <c r="A435" s="4">
        <v>44935</v>
      </c>
      <c r="B435" s="102">
        <v>2.6302897886820383E-2</v>
      </c>
      <c r="C435" s="102">
        <v>-6.9408183338671428E-3</v>
      </c>
      <c r="D435" s="102">
        <v>2.1858124077077561E-3</v>
      </c>
      <c r="E435" s="102">
        <v>-5.4274286512449805E-3</v>
      </c>
      <c r="F435" s="102">
        <v>-1.0245901639344262E-2</v>
      </c>
      <c r="G435" s="102">
        <v>-1.5094803168724176E-2</v>
      </c>
      <c r="H435" s="102">
        <v>-7.5713742540209393E-4</v>
      </c>
      <c r="I435" s="102">
        <v>9.0909090909088968E-4</v>
      </c>
      <c r="J435" s="102">
        <v>7.11596154664902E-3</v>
      </c>
      <c r="K435" s="102">
        <v>3.8352964705882356E-2</v>
      </c>
    </row>
    <row r="436" spans="1:11" x14ac:dyDescent="0.3">
      <c r="A436" s="4">
        <v>44936</v>
      </c>
      <c r="B436" s="102">
        <v>-1.9738909584466491E-2</v>
      </c>
      <c r="C436" s="102">
        <v>-6.3901980079441893E-3</v>
      </c>
      <c r="D436" s="102">
        <v>-3.1752888855826398E-3</v>
      </c>
      <c r="E436" s="102">
        <v>-1.7745210486863089E-2</v>
      </c>
      <c r="F436" s="102">
        <v>4.140786749482402E-3</v>
      </c>
      <c r="G436" s="102">
        <v>-7.4381390391200864E-3</v>
      </c>
      <c r="H436" s="102">
        <v>-5.2609636497197537E-4</v>
      </c>
      <c r="I436" s="102">
        <v>-1.4532198001816496E-2</v>
      </c>
      <c r="J436" s="102">
        <v>-1.284707557922688E-3</v>
      </c>
      <c r="K436" s="102">
        <v>4.5320869129370812E-3</v>
      </c>
    </row>
    <row r="437" spans="1:11" x14ac:dyDescent="0.3">
      <c r="A437" s="4">
        <v>44937</v>
      </c>
      <c r="B437" s="102">
        <v>-3.1178985294644586E-2</v>
      </c>
      <c r="C437" s="102">
        <v>3.4835408429492089E-3</v>
      </c>
      <c r="D437" s="102">
        <v>-1.9498449419553428E-3</v>
      </c>
      <c r="E437" s="102">
        <v>9.8353884866269579E-3</v>
      </c>
      <c r="F437" s="102">
        <v>1.8144329896907216E-2</v>
      </c>
      <c r="G437" s="102">
        <v>-2.8407090172333681E-2</v>
      </c>
      <c r="H437" s="102">
        <v>-2.3504719151703642E-4</v>
      </c>
      <c r="I437" s="102">
        <v>-1.8433271039941454E-2</v>
      </c>
      <c r="J437" s="102">
        <v>3.9877007729062827E-3</v>
      </c>
      <c r="K437" s="102">
        <v>-2.8648791849817661E-2</v>
      </c>
    </row>
    <row r="438" spans="1:11" x14ac:dyDescent="0.3">
      <c r="A438" s="4">
        <v>44938</v>
      </c>
      <c r="B438" s="102">
        <v>3.0171036953747909E-3</v>
      </c>
      <c r="C438" s="102">
        <v>-9.0126061560306912E-3</v>
      </c>
      <c r="D438" s="102">
        <v>6.3827817619492089E-4</v>
      </c>
      <c r="E438" s="102">
        <v>1.8338169918270481E-3</v>
      </c>
      <c r="F438" s="102">
        <v>-4.4552450384771165E-3</v>
      </c>
      <c r="G438" s="102">
        <v>-3.2394615246636685E-2</v>
      </c>
      <c r="H438" s="102">
        <v>4.5828421568496367E-3</v>
      </c>
      <c r="I438" s="102">
        <v>-4.6938969339855403E-4</v>
      </c>
      <c r="J438" s="102">
        <v>5.5093059057007999E-3</v>
      </c>
      <c r="K438" s="102">
        <v>-2.438464876022638E-2</v>
      </c>
    </row>
    <row r="439" spans="1:11" x14ac:dyDescent="0.3">
      <c r="A439" s="4">
        <v>44939</v>
      </c>
      <c r="B439" s="102">
        <v>1.8549467570498093E-2</v>
      </c>
      <c r="C439" s="102">
        <v>4.0417399516650505E-4</v>
      </c>
      <c r="D439" s="102">
        <v>-5.4771751316500298E-4</v>
      </c>
      <c r="E439" s="102">
        <v>1.9890937288402223E-2</v>
      </c>
      <c r="F439" s="102">
        <v>-1.3018714401952807E-2</v>
      </c>
      <c r="G439" s="102">
        <v>2.5693285534282521E-2</v>
      </c>
      <c r="H439" s="102">
        <v>2.1985628584613938E-3</v>
      </c>
      <c r="I439" s="102">
        <v>2.8181774157737824E-3</v>
      </c>
      <c r="J439" s="102">
        <v>-6.2436426700710158E-3</v>
      </c>
      <c r="K439" s="102">
        <v>-1.6900714920291198E-2</v>
      </c>
    </row>
    <row r="440" spans="1:11" x14ac:dyDescent="0.3">
      <c r="A440" s="4">
        <v>44942</v>
      </c>
      <c r="B440" s="102">
        <v>-7.2190113595931808E-3</v>
      </c>
      <c r="C440" s="102">
        <v>-4.9830723537662219E-3</v>
      </c>
      <c r="D440" s="102">
        <v>6.3181685550833735E-4</v>
      </c>
      <c r="E440" s="102">
        <v>2.5924359168836841E-2</v>
      </c>
      <c r="F440" s="102">
        <v>-4.9464138499587799E-2</v>
      </c>
      <c r="G440" s="102">
        <v>1.4133396294236012E-2</v>
      </c>
      <c r="H440" s="102">
        <v>2.6640618062338301E-4</v>
      </c>
      <c r="I440" s="102">
        <v>9.3676346604214637E-3</v>
      </c>
      <c r="J440" s="102">
        <v>5.1291029953719214E-4</v>
      </c>
      <c r="K440" s="102">
        <v>-1.7433341826473152E-2</v>
      </c>
    </row>
    <row r="441" spans="1:11" x14ac:dyDescent="0.3">
      <c r="A441" s="4">
        <v>44943</v>
      </c>
      <c r="B441" s="102">
        <v>-6.6104737680006327E-4</v>
      </c>
      <c r="C441" s="102">
        <v>-5.7525196495923575E-3</v>
      </c>
      <c r="D441" s="102">
        <v>1.9438616669521857E-2</v>
      </c>
      <c r="E441" s="102">
        <v>-2.8651450726361834E-2</v>
      </c>
      <c r="F441" s="102">
        <v>-2.6019080659150044E-2</v>
      </c>
      <c r="G441" s="102">
        <v>-7.7701490431291795E-3</v>
      </c>
      <c r="H441" s="102">
        <v>-1.6012994528619299E-3</v>
      </c>
      <c r="I441" s="102">
        <v>-2.7841764633029101E-3</v>
      </c>
      <c r="J441" s="102">
        <v>3.4601284260261712E-3</v>
      </c>
      <c r="K441" s="102">
        <v>7.3435161486684983E-2</v>
      </c>
    </row>
    <row r="442" spans="1:11" x14ac:dyDescent="0.3">
      <c r="A442" s="4">
        <v>44944</v>
      </c>
      <c r="B442" s="102">
        <v>-3.8200751050557306E-2</v>
      </c>
      <c r="C442" s="102">
        <v>-2.5457997522978407E-2</v>
      </c>
      <c r="D442" s="102">
        <v>-4.4746809029502363E-3</v>
      </c>
      <c r="E442" s="102">
        <v>6.6036510614716128E-3</v>
      </c>
      <c r="F442" s="102">
        <v>-1.0240427426536063E-2</v>
      </c>
      <c r="G442" s="102">
        <v>-2.5432922166949447E-2</v>
      </c>
      <c r="H442" s="102">
        <v>-2.3152341087006923E-3</v>
      </c>
      <c r="I442" s="102">
        <v>5.1186598417870171E-3</v>
      </c>
      <c r="J442" s="102">
        <v>-5.3640283888157407E-3</v>
      </c>
      <c r="K442" s="102">
        <v>-9.1827592014977946E-3</v>
      </c>
    </row>
    <row r="443" spans="1:11" x14ac:dyDescent="0.3">
      <c r="A443" s="4">
        <v>44945</v>
      </c>
      <c r="B443" s="102">
        <v>-3.0261347503253436E-2</v>
      </c>
      <c r="C443" s="102">
        <v>-8.5911365112734742E-3</v>
      </c>
      <c r="D443" s="102">
        <v>-9.5100790162932682E-3</v>
      </c>
      <c r="E443" s="102">
        <v>6.6399601126078652E-3</v>
      </c>
      <c r="F443" s="102">
        <v>1.5294646873594242E-2</v>
      </c>
      <c r="G443" s="102">
        <v>2.3959602976467158E-3</v>
      </c>
      <c r="H443" s="102">
        <v>-5.5126791620736988E-4</v>
      </c>
      <c r="I443" s="102">
        <v>1.6666620370370297E-2</v>
      </c>
      <c r="J443" s="102">
        <v>-3.8520388952480093E-3</v>
      </c>
      <c r="K443" s="102">
        <v>-3.5681209453197332E-2</v>
      </c>
    </row>
    <row r="444" spans="1:11" x14ac:dyDescent="0.3">
      <c r="A444" s="4">
        <v>44946</v>
      </c>
      <c r="B444" s="102">
        <v>-1.329787791969392E-2</v>
      </c>
      <c r="C444" s="102">
        <v>8.5953513298569033E-3</v>
      </c>
      <c r="D444" s="102">
        <v>-5.9224893451152337E-3</v>
      </c>
      <c r="E444" s="102">
        <v>2.1723097662912304E-3</v>
      </c>
      <c r="F444" s="102">
        <v>-6.202924235711121E-3</v>
      </c>
      <c r="G444" s="102">
        <v>-3.1549978383527327E-2</v>
      </c>
      <c r="H444" s="102">
        <v>-1.8198572518503034E-3</v>
      </c>
      <c r="I444" s="102">
        <v>-2.8233106932290843E-2</v>
      </c>
      <c r="J444" s="102">
        <v>-1.5338957257860587E-2</v>
      </c>
      <c r="K444" s="102">
        <v>2.1143705457561401E-2</v>
      </c>
    </row>
    <row r="445" spans="1:11" x14ac:dyDescent="0.3">
      <c r="A445" s="4">
        <v>44949</v>
      </c>
      <c r="B445" s="102">
        <v>1.3836438078472443E-2</v>
      </c>
      <c r="C445" s="102">
        <v>-5.3786981273024493E-3</v>
      </c>
      <c r="D445" s="102">
        <v>-4.2296759067489134E-3</v>
      </c>
      <c r="E445" s="102">
        <v>-7.0941083201278097E-3</v>
      </c>
      <c r="F445" s="102">
        <v>-1.6941596076683014E-2</v>
      </c>
      <c r="G445" s="102">
        <v>-1.4504336380459863E-2</v>
      </c>
      <c r="H445" s="102">
        <v>7.3125537687771262E-4</v>
      </c>
      <c r="I445" s="102">
        <v>-6.5604029990627716E-3</v>
      </c>
      <c r="J445" s="102">
        <v>1.0603412979630101E-2</v>
      </c>
      <c r="K445" s="102">
        <v>-4.1411717647058893E-2</v>
      </c>
    </row>
    <row r="446" spans="1:11" x14ac:dyDescent="0.3">
      <c r="A446" s="4">
        <v>44950</v>
      </c>
      <c r="B446" s="102">
        <v>-2.4282160650030266E-2</v>
      </c>
      <c r="C446" s="102">
        <v>1.6784822588950025E-2</v>
      </c>
      <c r="D446" s="102">
        <v>-8.4370051747539258E-3</v>
      </c>
      <c r="E446" s="102">
        <v>2.7706053481350201E-2</v>
      </c>
      <c r="F446" s="102">
        <v>3.9909297052154194E-2</v>
      </c>
      <c r="G446" s="102">
        <v>-3.5484463208682454E-2</v>
      </c>
      <c r="H446" s="102">
        <v>1.5672478268488619E-3</v>
      </c>
      <c r="I446" s="102">
        <v>-4.7170280793854156E-3</v>
      </c>
      <c r="J446" s="102">
        <v>4.6631676983079143E-3</v>
      </c>
      <c r="K446" s="102">
        <v>-3.0436964632451345E-2</v>
      </c>
    </row>
    <row r="447" spans="1:11" x14ac:dyDescent="0.3">
      <c r="A447" s="4">
        <v>44951</v>
      </c>
      <c r="B447" s="102">
        <v>-1.1262473203493009E-2</v>
      </c>
      <c r="C447" s="102">
        <v>7.1143020938969409E-3</v>
      </c>
      <c r="D447" s="102">
        <v>-3.5922630043206963E-2</v>
      </c>
      <c r="E447" s="102">
        <v>-7.4542326677474171E-3</v>
      </c>
      <c r="F447" s="102">
        <v>-8.2860880941997388E-3</v>
      </c>
      <c r="G447" s="102">
        <v>-2.9200276091719716E-2</v>
      </c>
      <c r="H447" s="102">
        <v>1.284188633775208E-3</v>
      </c>
      <c r="I447" s="102">
        <v>1.4691943127962024E-2</v>
      </c>
      <c r="J447" s="102">
        <v>4.770534145940428E-3</v>
      </c>
      <c r="K447" s="102">
        <v>1.443037974683545E-2</v>
      </c>
    </row>
    <row r="448" spans="1:11" x14ac:dyDescent="0.3">
      <c r="A448" s="4">
        <v>44952</v>
      </c>
      <c r="B448" s="102">
        <v>-2.9762990632313805E-2</v>
      </c>
      <c r="C448" s="102">
        <v>5.0065304570643355E-3</v>
      </c>
      <c r="D448" s="102">
        <v>-2.200031706424296E-2</v>
      </c>
      <c r="E448" s="102">
        <v>1.1401577793696193E-2</v>
      </c>
      <c r="F448" s="102">
        <v>-1.0993843447669306E-2</v>
      </c>
      <c r="G448" s="102">
        <v>2.6581105322721878E-2</v>
      </c>
      <c r="H448" s="102">
        <v>-3.3860417271121459E-3</v>
      </c>
      <c r="I448" s="102">
        <v>-5.137832788416649E-3</v>
      </c>
      <c r="J448" s="102">
        <v>-2.1813449174535198E-3</v>
      </c>
      <c r="K448" s="102">
        <v>-1.9964562016472009E-3</v>
      </c>
    </row>
    <row r="449" spans="1:11" x14ac:dyDescent="0.3">
      <c r="A449" s="4">
        <v>44953</v>
      </c>
      <c r="B449" s="102">
        <v>6.4571109639502522E-2</v>
      </c>
      <c r="C449" s="102">
        <v>-1.1191624240325396E-2</v>
      </c>
      <c r="D449" s="102">
        <v>-3.1900582726028304E-2</v>
      </c>
      <c r="E449" s="102">
        <v>-2.135353063674884E-2</v>
      </c>
      <c r="F449" s="102">
        <v>4.4464206313917296E-4</v>
      </c>
      <c r="G449" s="102">
        <v>5.6114231910813122E-3</v>
      </c>
      <c r="H449" s="102">
        <v>-1.5217830003602819E-4</v>
      </c>
      <c r="I449" s="102">
        <v>-1.408403821990795E-3</v>
      </c>
      <c r="J449" s="102">
        <v>-9.0021914392185015E-3</v>
      </c>
      <c r="K449" s="102">
        <v>-4.2510650537101763E-2</v>
      </c>
    </row>
    <row r="450" spans="1:11" x14ac:dyDescent="0.3">
      <c r="A450" s="4">
        <v>44956</v>
      </c>
      <c r="B450" s="102">
        <v>-1.4230342757302629E-3</v>
      </c>
      <c r="C450" s="102">
        <v>-1.5665766247910436E-2</v>
      </c>
      <c r="D450" s="102">
        <v>2.5325573057452277E-3</v>
      </c>
      <c r="E450" s="102">
        <v>9.0817229493037437E-3</v>
      </c>
      <c r="F450" s="102">
        <v>2.2666666666666668E-2</v>
      </c>
      <c r="G450" s="102">
        <v>-1.7099099274977405E-2</v>
      </c>
      <c r="H450" s="102">
        <v>-3.9009896403744047E-3</v>
      </c>
      <c r="I450" s="102">
        <v>-3.29097320169249E-3</v>
      </c>
      <c r="J450" s="102">
        <v>8.4350188895171967E-3</v>
      </c>
      <c r="K450" s="102">
        <v>-1.6975763463677986E-2</v>
      </c>
    </row>
    <row r="451" spans="1:11" x14ac:dyDescent="0.3">
      <c r="A451" s="4">
        <v>44957</v>
      </c>
      <c r="B451" s="102">
        <v>3.0282368850254151E-3</v>
      </c>
      <c r="C451" s="102">
        <v>-1.4022239131063466E-2</v>
      </c>
      <c r="D451" s="102">
        <v>-1.0776149451760637E-3</v>
      </c>
      <c r="E451" s="102">
        <v>-7.2467582471360849E-3</v>
      </c>
      <c r="F451" s="102">
        <v>8.2572794437201225E-3</v>
      </c>
      <c r="G451" s="102">
        <v>-3.2846738860176701E-2</v>
      </c>
      <c r="H451" s="102">
        <v>-2.4347953177524342E-3</v>
      </c>
      <c r="I451" s="102">
        <v>2.3584432849790755E-3</v>
      </c>
      <c r="J451" s="102">
        <v>-3.4615926888328444E-2</v>
      </c>
      <c r="K451" s="102">
        <v>-2.8427179288713657E-2</v>
      </c>
    </row>
    <row r="452" spans="1:11" x14ac:dyDescent="0.3">
      <c r="A452" s="4">
        <v>44958</v>
      </c>
      <c r="B452" s="102">
        <v>9.2345704890486515E-3</v>
      </c>
      <c r="C452" s="102">
        <v>-2.481695277695431E-2</v>
      </c>
      <c r="D452" s="102">
        <v>-6.1432926198729226E-4</v>
      </c>
      <c r="E452" s="102">
        <v>-9.4187445127891251E-3</v>
      </c>
      <c r="F452" s="102">
        <v>-9.9137931034482766E-3</v>
      </c>
      <c r="G452" s="102">
        <v>-5.6226431865828035E-2</v>
      </c>
      <c r="H452" s="102">
        <v>5.6273495849413916E-3</v>
      </c>
      <c r="I452" s="102">
        <v>-1.8824000000000082E-3</v>
      </c>
      <c r="J452" s="102">
        <v>4.9321617532265523E-3</v>
      </c>
      <c r="K452" s="102">
        <v>-1.230519551544983E-2</v>
      </c>
    </row>
    <row r="453" spans="1:11" x14ac:dyDescent="0.3">
      <c r="A453" s="4">
        <v>44959</v>
      </c>
      <c r="B453" s="102">
        <v>-1.090978650409806E-2</v>
      </c>
      <c r="C453" s="102">
        <v>-1.2177248172149241E-2</v>
      </c>
      <c r="D453" s="102">
        <v>-8.5057961464227757E-4</v>
      </c>
      <c r="E453" s="102">
        <v>-3.9581414595333331E-5</v>
      </c>
      <c r="F453" s="102">
        <v>-3.3957335655202439E-2</v>
      </c>
      <c r="G453" s="102">
        <v>1.532718939672466E-2</v>
      </c>
      <c r="H453" s="102">
        <v>-3.0462668331084633E-4</v>
      </c>
      <c r="I453" s="102">
        <v>9.4299863003296711E-4</v>
      </c>
      <c r="J453" s="102">
        <v>1.1937199965609433E-3</v>
      </c>
      <c r="K453" s="102">
        <v>4.8449613744452211E-2</v>
      </c>
    </row>
    <row r="454" spans="1:11" x14ac:dyDescent="0.3">
      <c r="A454" s="4">
        <v>44960</v>
      </c>
      <c r="B454" s="102">
        <v>2.4550841280155326E-2</v>
      </c>
      <c r="C454" s="102">
        <v>1.5058369731239356E-2</v>
      </c>
      <c r="D454" s="102">
        <v>6.5102308489365746E-4</v>
      </c>
      <c r="E454" s="102">
        <v>-7.0523849182702889E-3</v>
      </c>
      <c r="F454" s="102">
        <v>-2.5687246507435781E-2</v>
      </c>
      <c r="G454" s="102">
        <v>1.1377002186221039E-3</v>
      </c>
      <c r="H454" s="102">
        <v>-2.6497348609051891E-4</v>
      </c>
      <c r="I454" s="102">
        <v>-8.0075836081017048E-3</v>
      </c>
      <c r="J454" s="102">
        <v>1.7090700812111795E-2</v>
      </c>
      <c r="K454" s="102">
        <v>-3.1951387165339067E-2</v>
      </c>
    </row>
    <row r="455" spans="1:11" x14ac:dyDescent="0.3">
      <c r="A455" s="4">
        <v>44964</v>
      </c>
      <c r="B455" s="102">
        <v>-4.8619575870451189E-2</v>
      </c>
      <c r="C455" s="102">
        <v>1.0835703932716888E-2</v>
      </c>
      <c r="D455" s="102">
        <v>5.0760946182284202E-4</v>
      </c>
      <c r="E455" s="102">
        <v>3.6629128113330293E-2</v>
      </c>
      <c r="F455" s="102">
        <v>2.0814061054579093E-2</v>
      </c>
      <c r="G455" s="102">
        <v>1.4029685130729651E-2</v>
      </c>
      <c r="H455" s="102">
        <v>3.8365077840025988E-3</v>
      </c>
      <c r="I455" s="102">
        <v>-9.021747816797274E-3</v>
      </c>
      <c r="J455" s="102">
        <v>2.357683632547496E-2</v>
      </c>
      <c r="K455" s="102">
        <v>3.6279378068739786E-2</v>
      </c>
    </row>
    <row r="456" spans="1:11" x14ac:dyDescent="0.3">
      <c r="A456" s="4">
        <v>44965</v>
      </c>
      <c r="B456" s="102">
        <v>2.7194714289416139E-2</v>
      </c>
      <c r="C456" s="102">
        <v>-3.2374790571289436E-3</v>
      </c>
      <c r="D456" s="102">
        <v>-2.2080766758099052E-3</v>
      </c>
      <c r="E456" s="102">
        <v>5.5427117433964716E-3</v>
      </c>
      <c r="F456" s="102">
        <v>6.3434526506570008E-3</v>
      </c>
      <c r="G456" s="102">
        <v>2.8016034395414731E-2</v>
      </c>
      <c r="H456" s="102">
        <v>8.0529381672964832E-4</v>
      </c>
      <c r="I456" s="102">
        <v>4.7906082994452474E-4</v>
      </c>
      <c r="J456" s="102">
        <v>-9.7990347607558887E-3</v>
      </c>
      <c r="K456" s="102">
        <v>1.5267122123341909E-2</v>
      </c>
    </row>
    <row r="457" spans="1:11" x14ac:dyDescent="0.3">
      <c r="A457" s="4">
        <v>44966</v>
      </c>
      <c r="B457" s="102">
        <v>3.7668886366754244E-2</v>
      </c>
      <c r="C457" s="102">
        <v>-1.0104617167445132E-2</v>
      </c>
      <c r="D457" s="102">
        <v>5.0847467625802936E-4</v>
      </c>
      <c r="E457" s="102">
        <v>-1.2287484536928669E-2</v>
      </c>
      <c r="F457" s="102">
        <v>-2.4763619990995047E-2</v>
      </c>
      <c r="G457" s="102">
        <v>1.9537977852877777E-2</v>
      </c>
      <c r="H457" s="102">
        <v>8.442185866593333E-4</v>
      </c>
      <c r="I457" s="102">
        <v>-1.67623571246341E-2</v>
      </c>
      <c r="J457" s="102">
        <v>-6.4240538251131979E-4</v>
      </c>
      <c r="K457" s="102">
        <v>3.137150635208702E-2</v>
      </c>
    </row>
    <row r="458" spans="1:11" x14ac:dyDescent="0.3">
      <c r="A458" s="4">
        <v>44967</v>
      </c>
      <c r="B458" s="102">
        <v>-2.6883583846161456E-2</v>
      </c>
      <c r="C458" s="102">
        <v>1.3909281929167443E-2</v>
      </c>
      <c r="D458" s="102">
        <v>4.2922341918191243E-5</v>
      </c>
      <c r="E458" s="102">
        <v>1.1625375436362373E-3</v>
      </c>
      <c r="F458" s="102">
        <v>3.647276084949215E-2</v>
      </c>
      <c r="G458" s="102">
        <v>-4.009540683550937E-2</v>
      </c>
      <c r="H458" s="102">
        <v>-8.5998121880089603E-4</v>
      </c>
      <c r="I458" s="102">
        <v>-3.9454552388964684E-2</v>
      </c>
      <c r="J458" s="102">
        <v>3.0863942290757572E-3</v>
      </c>
      <c r="K458" s="102">
        <v>-2.2624384681356996E-2</v>
      </c>
    </row>
    <row r="459" spans="1:11" x14ac:dyDescent="0.3">
      <c r="A459" s="4">
        <v>44970</v>
      </c>
      <c r="B459" s="102">
        <v>3.4312837869098063E-2</v>
      </c>
      <c r="C459" s="102">
        <v>1.8267099791076324E-2</v>
      </c>
      <c r="D459" s="102">
        <v>-1.5818109173564132E-3</v>
      </c>
      <c r="E459" s="102">
        <v>5.264681300326402E-3</v>
      </c>
      <c r="F459" s="102">
        <v>-7.1269487750556795E-3</v>
      </c>
      <c r="G459" s="102">
        <v>-6.8547254464456395E-4</v>
      </c>
      <c r="H459" s="102">
        <v>-2.3348305269198697E-3</v>
      </c>
      <c r="I459" s="102">
        <v>-2.5862070276981328E-2</v>
      </c>
      <c r="J459" s="102">
        <v>1.8846195775256046E-2</v>
      </c>
      <c r="K459" s="102">
        <v>-7.7160234640940382E-3</v>
      </c>
    </row>
    <row r="460" spans="1:11" x14ac:dyDescent="0.3">
      <c r="A460" s="4">
        <v>44971</v>
      </c>
      <c r="B460" s="102">
        <v>1.1908779851862094E-2</v>
      </c>
      <c r="C460" s="102">
        <v>1.8010454038037818E-2</v>
      </c>
      <c r="D460" s="102">
        <v>-1.5844041466317547E-3</v>
      </c>
      <c r="E460" s="102">
        <v>-6.1997373807800042E-3</v>
      </c>
      <c r="F460" s="102">
        <v>2.1085688649618663E-2</v>
      </c>
      <c r="G460" s="102">
        <v>-3.2753151692385206E-2</v>
      </c>
      <c r="H460" s="102">
        <v>3.8476031812142816E-3</v>
      </c>
      <c r="I460" s="102">
        <v>4.0083344095957561E-2</v>
      </c>
      <c r="J460" s="102">
        <v>2.1014095769824791E-2</v>
      </c>
      <c r="K460" s="102">
        <v>-3.1104223374586664E-2</v>
      </c>
    </row>
    <row r="461" spans="1:11" x14ac:dyDescent="0.3">
      <c r="A461" s="4">
        <v>44972</v>
      </c>
      <c r="B461" s="102">
        <v>-2.0679204404981513E-2</v>
      </c>
      <c r="C461" s="102">
        <v>9.542273626752782E-3</v>
      </c>
      <c r="D461" s="102">
        <v>-2.2331147496605927E-3</v>
      </c>
      <c r="E461" s="102">
        <v>1.2593083503669548E-2</v>
      </c>
      <c r="F461" s="102">
        <v>-1.4938488576449912E-2</v>
      </c>
      <c r="G461" s="102">
        <v>-1.3030768837664379E-2</v>
      </c>
      <c r="H461" s="102">
        <v>1.7978860021732022E-3</v>
      </c>
      <c r="I461" s="102">
        <v>1.0010010010009797E-3</v>
      </c>
      <c r="J461" s="102">
        <v>1.2201148653067314E-2</v>
      </c>
      <c r="K461" s="102">
        <v>-4.8154091809681793E-3</v>
      </c>
    </row>
    <row r="462" spans="1:11" x14ac:dyDescent="0.3">
      <c r="A462" s="4">
        <v>44973</v>
      </c>
      <c r="B462" s="102">
        <v>5.5278999769469733E-2</v>
      </c>
      <c r="C462" s="102">
        <v>5.7266167929974458E-3</v>
      </c>
      <c r="D462" s="102">
        <v>6.4912510112488993E-3</v>
      </c>
      <c r="E462" s="102">
        <v>-1.1479166911485357E-3</v>
      </c>
      <c r="F462" s="102">
        <v>-1.7841213202497771E-3</v>
      </c>
      <c r="G462" s="102">
        <v>1.221484230960972E-2</v>
      </c>
      <c r="H462" s="102">
        <v>-2.340288460274266E-3</v>
      </c>
      <c r="I462" s="102">
        <v>-5.0000000000007818E-4</v>
      </c>
      <c r="J462" s="102">
        <v>7.6708223608305381E-3</v>
      </c>
      <c r="K462" s="102">
        <v>3.6827929117528788E-2</v>
      </c>
    </row>
    <row r="463" spans="1:11" x14ac:dyDescent="0.3">
      <c r="A463" s="4">
        <v>44974</v>
      </c>
      <c r="B463" s="102">
        <v>2.2938009167938884E-2</v>
      </c>
      <c r="C463" s="102">
        <v>-1.6670206516279436E-2</v>
      </c>
      <c r="D463" s="102">
        <v>5.9348948895689233E-4</v>
      </c>
      <c r="E463" s="102">
        <v>3.869200718710684E-3</v>
      </c>
      <c r="F463" s="102">
        <v>1.3404825737265416E-3</v>
      </c>
      <c r="G463" s="102">
        <v>5.1020808811557085E-3</v>
      </c>
      <c r="H463" s="102">
        <v>1.0213360393255707E-4</v>
      </c>
      <c r="I463" s="102">
        <v>4.702351175587801E-2</v>
      </c>
      <c r="J463" s="102">
        <v>1.4378783501741738E-2</v>
      </c>
      <c r="K463" s="102">
        <v>4.1483017889550576E-3</v>
      </c>
    </row>
    <row r="464" spans="1:11" x14ac:dyDescent="0.3">
      <c r="A464" s="4">
        <v>44977</v>
      </c>
      <c r="B464" s="102">
        <v>-2.7512710738106714E-2</v>
      </c>
      <c r="C464" s="102">
        <v>-3.2021729110895757E-2</v>
      </c>
      <c r="D464" s="102">
        <v>-3.6658157263196834E-3</v>
      </c>
      <c r="E464" s="102">
        <v>-2.2893839224008642E-4</v>
      </c>
      <c r="F464" s="102">
        <v>0</v>
      </c>
      <c r="G464" s="102">
        <v>3.8534521670255728E-2</v>
      </c>
      <c r="H464" s="102">
        <v>-3.096638171006999E-3</v>
      </c>
      <c r="I464" s="102">
        <v>1.4811275680840837E-2</v>
      </c>
      <c r="J464" s="102">
        <v>-1.7510282659602396E-2</v>
      </c>
      <c r="K464" s="102">
        <v>3.8729666924864452E-2</v>
      </c>
    </row>
    <row r="465" spans="1:11" x14ac:dyDescent="0.3">
      <c r="A465" s="4">
        <v>44978</v>
      </c>
      <c r="B465" s="102">
        <v>2.4693374746001129E-2</v>
      </c>
      <c r="C465" s="102">
        <v>3.2432145994672895E-3</v>
      </c>
      <c r="D465" s="102">
        <v>1.147545426188133E-3</v>
      </c>
      <c r="E465" s="102">
        <v>-2.5956359227863358E-3</v>
      </c>
      <c r="F465" s="102">
        <v>2.3203926818384651E-2</v>
      </c>
      <c r="G465" s="102">
        <v>-3.0261794586287877E-2</v>
      </c>
      <c r="H465" s="102">
        <v>3.3805330205045887E-3</v>
      </c>
      <c r="I465" s="102">
        <v>-1.177024482109228E-2</v>
      </c>
      <c r="J465" s="102">
        <v>4.84902432553053E-4</v>
      </c>
      <c r="K465" s="102">
        <v>-1.24285359184681E-3</v>
      </c>
    </row>
    <row r="466" spans="1:11" x14ac:dyDescent="0.3">
      <c r="A466" s="4">
        <v>44979</v>
      </c>
      <c r="B466" s="102">
        <v>-8.4583618234795096E-3</v>
      </c>
      <c r="C466" s="102">
        <v>3.0172060943733409E-3</v>
      </c>
      <c r="D466" s="102">
        <v>5.3727317367959979E-4</v>
      </c>
      <c r="E466" s="102">
        <v>4.9746762646454888E-4</v>
      </c>
      <c r="F466" s="102">
        <v>4.143044047099869E-2</v>
      </c>
      <c r="G466" s="102">
        <v>4.3609733632368038E-2</v>
      </c>
      <c r="H466" s="102">
        <v>1.7883137156746013E-3</v>
      </c>
      <c r="I466" s="102">
        <v>1.429252024773756E-3</v>
      </c>
      <c r="J466" s="102">
        <v>-5.2108744685251847E-3</v>
      </c>
      <c r="K466" s="102">
        <v>5.973125933300151E-2</v>
      </c>
    </row>
    <row r="467" spans="1:11" x14ac:dyDescent="0.3">
      <c r="A467" s="4">
        <v>44980</v>
      </c>
      <c r="B467" s="102">
        <v>1.0944803172468763E-2</v>
      </c>
      <c r="C467" s="102">
        <v>1.2893559240929181E-3</v>
      </c>
      <c r="D467" s="102">
        <v>1.0096116142539085E-3</v>
      </c>
      <c r="E467" s="102">
        <v>3.0982537919238308E-3</v>
      </c>
      <c r="F467" s="102">
        <v>8.375209380234506E-4</v>
      </c>
      <c r="G467" s="102">
        <v>-1.2389219216373967E-2</v>
      </c>
      <c r="H467" s="102">
        <v>1.18021835683359E-3</v>
      </c>
      <c r="I467" s="102">
        <v>1.0466222645099851E-2</v>
      </c>
      <c r="J467" s="102">
        <v>4.5072676730395934E-3</v>
      </c>
      <c r="K467" s="102">
        <v>1.5969844247541432E-2</v>
      </c>
    </row>
    <row r="468" spans="1:11" x14ac:dyDescent="0.3">
      <c r="A468" s="4">
        <v>44981</v>
      </c>
      <c r="B468" s="102">
        <v>4.7764274682822791E-4</v>
      </c>
      <c r="C468" s="102">
        <v>-2.2175476284050782E-3</v>
      </c>
      <c r="D468" s="102">
        <v>-3.0471821746807688E-3</v>
      </c>
      <c r="E468" s="102">
        <v>-5.3003557610844338E-3</v>
      </c>
      <c r="F468" s="102">
        <v>6.2761506276150627E-3</v>
      </c>
      <c r="G468" s="102">
        <v>6.25106725206564E-3</v>
      </c>
      <c r="H468" s="102">
        <v>9.7524134760619866E-4</v>
      </c>
      <c r="I468" s="102">
        <v>4.7551789077212886E-2</v>
      </c>
      <c r="J468" s="102">
        <v>4.0020479749472079E-3</v>
      </c>
      <c r="K468" s="102">
        <v>-3.9296811802903833E-3</v>
      </c>
    </row>
    <row r="469" spans="1:11" x14ac:dyDescent="0.3">
      <c r="A469" s="4">
        <v>44984</v>
      </c>
      <c r="B469" s="102">
        <v>-9.0706703480614402E-3</v>
      </c>
      <c r="C469" s="102">
        <v>9.1046465909682996E-3</v>
      </c>
      <c r="D469" s="102">
        <v>-5.6035039372041712E-3</v>
      </c>
      <c r="E469" s="102">
        <v>-4.907061234723808E-3</v>
      </c>
      <c r="F469" s="102">
        <v>-2.6611226611226613E-2</v>
      </c>
      <c r="G469" s="102">
        <v>-1.2044144613021529E-2</v>
      </c>
      <c r="H469" s="102">
        <v>1.6106968642258625E-3</v>
      </c>
      <c r="I469" s="102">
        <v>8.9888089887640594E-3</v>
      </c>
      <c r="J469" s="102">
        <v>1.3528272089806778E-2</v>
      </c>
      <c r="K469" s="102">
        <v>-5.3376421443491872E-3</v>
      </c>
    </row>
    <row r="470" spans="1:11" x14ac:dyDescent="0.3">
      <c r="A470" s="4">
        <v>44985</v>
      </c>
      <c r="B470" s="102">
        <v>-2.2482804616156199E-3</v>
      </c>
      <c r="C470" s="102">
        <v>1.4350634973386317E-2</v>
      </c>
      <c r="D470" s="102">
        <v>1.6154880252931967E-2</v>
      </c>
      <c r="E470" s="102">
        <v>1.0517431393116488E-2</v>
      </c>
      <c r="F470" s="102">
        <v>2.1358393848782574E-3</v>
      </c>
      <c r="G470" s="102">
        <v>0</v>
      </c>
      <c r="H470" s="102">
        <v>-1.0447780747262047E-3</v>
      </c>
      <c r="I470" s="102">
        <v>-1.4699331193793793E-2</v>
      </c>
      <c r="J470" s="102">
        <v>6.5545543035852747E-3</v>
      </c>
      <c r="K470" s="102">
        <v>2.3327110981642444E-4</v>
      </c>
    </row>
    <row r="471" spans="1:11" x14ac:dyDescent="0.3">
      <c r="A471" s="4">
        <v>44986</v>
      </c>
      <c r="B471" s="102">
        <v>1.3037144142648907E-2</v>
      </c>
      <c r="C471" s="102">
        <v>-4.9020465945305255E-4</v>
      </c>
      <c r="D471" s="102">
        <v>4.9284630536893567E-2</v>
      </c>
      <c r="E471" s="102">
        <v>8.3860472707170445E-4</v>
      </c>
      <c r="F471" s="102">
        <v>-5.9676044330775786E-3</v>
      </c>
      <c r="G471" s="102">
        <v>-3.6786765492287095E-3</v>
      </c>
      <c r="H471" s="102">
        <v>-1.6229029307331948E-3</v>
      </c>
      <c r="I471" s="102">
        <v>1.7178977523554431E-2</v>
      </c>
      <c r="J471" s="102">
        <v>5.3279565098251101E-3</v>
      </c>
      <c r="K471" s="102">
        <v>-1.4229088272196995E-2</v>
      </c>
    </row>
    <row r="472" spans="1:11" x14ac:dyDescent="0.3">
      <c r="A472" s="4">
        <v>44987</v>
      </c>
      <c r="B472" s="102">
        <v>4.7672048440496035E-4</v>
      </c>
      <c r="C472" s="102">
        <v>3.2232256432663938E-3</v>
      </c>
      <c r="D472" s="102">
        <v>4.9331412374022464E-2</v>
      </c>
      <c r="E472" s="102">
        <v>3.0481129231076977E-4</v>
      </c>
      <c r="F472" s="102">
        <v>1.2864493996569469E-3</v>
      </c>
      <c r="G472" s="102">
        <v>2.1466598157879085E-2</v>
      </c>
      <c r="H472" s="102">
        <v>2.2921770427632182E-3</v>
      </c>
      <c r="I472" s="102">
        <v>1.0222222222222242E-2</v>
      </c>
      <c r="J472" s="102">
        <v>-3.7687170873564658E-3</v>
      </c>
      <c r="K472" s="102">
        <v>4.7328445211931847E-4</v>
      </c>
    </row>
    <row r="473" spans="1:11" x14ac:dyDescent="0.3">
      <c r="A473" s="4">
        <v>44988</v>
      </c>
      <c r="B473" s="102">
        <v>-7.9402921786890669E-3</v>
      </c>
      <c r="C473" s="102">
        <v>1.061677227112843E-2</v>
      </c>
      <c r="D473" s="102">
        <v>-5.8188099776593651E-2</v>
      </c>
      <c r="E473" s="102">
        <v>7.6167392195603727E-4</v>
      </c>
      <c r="F473" s="102">
        <v>1.7130620985010706E-3</v>
      </c>
      <c r="G473" s="102">
        <v>-1.6350029559095695E-2</v>
      </c>
      <c r="H473" s="102">
        <v>-2.7521853662363532E-4</v>
      </c>
      <c r="I473" s="102">
        <v>1.1438627364716146E-2</v>
      </c>
      <c r="J473" s="102">
        <v>8.8662367879362072E-3</v>
      </c>
      <c r="K473" s="102">
        <v>7.095624576528581E-3</v>
      </c>
    </row>
    <row r="474" spans="1:11" x14ac:dyDescent="0.3">
      <c r="A474" s="4">
        <v>44991</v>
      </c>
      <c r="B474" s="102">
        <v>7.0433603309064032E-3</v>
      </c>
      <c r="C474" s="102">
        <v>-2.7649915645236645E-4</v>
      </c>
      <c r="D474" s="102">
        <v>-3.0347276482502017E-2</v>
      </c>
      <c r="E474" s="102">
        <v>-5.8125700542388794E-3</v>
      </c>
      <c r="F474" s="102">
        <v>-3.2064985036340317E-2</v>
      </c>
      <c r="G474" s="102">
        <v>4.3285070475088894E-2</v>
      </c>
      <c r="H474" s="102">
        <v>-3.2117668650540195E-4</v>
      </c>
      <c r="I474" s="102">
        <v>-1.2614136581122147E-2</v>
      </c>
      <c r="J474" s="102">
        <v>-8.7883174841541373E-3</v>
      </c>
      <c r="K474" s="102">
        <v>2.6538209180920258E-2</v>
      </c>
    </row>
    <row r="475" spans="1:11" x14ac:dyDescent="0.3">
      <c r="A475" s="4">
        <v>44992</v>
      </c>
      <c r="B475" s="102">
        <v>-3.0519772147197241E-2</v>
      </c>
      <c r="C475" s="102">
        <v>-1.8320057409310423E-2</v>
      </c>
      <c r="D475" s="102">
        <v>-9.8014750614590952E-3</v>
      </c>
      <c r="E475" s="102">
        <v>-7.2314045660617048E-3</v>
      </c>
      <c r="F475" s="102">
        <v>-7.9505300353356883E-3</v>
      </c>
      <c r="G475" s="102">
        <v>-2.0068843871742331E-2</v>
      </c>
      <c r="H475" s="102">
        <v>-5.5207684490050776E-3</v>
      </c>
      <c r="I475" s="102">
        <v>-8.370087737000485E-3</v>
      </c>
      <c r="J475" s="102">
        <v>3.3101669440776756E-3</v>
      </c>
      <c r="K475" s="102">
        <v>1.8302905932345878E-3</v>
      </c>
    </row>
    <row r="476" spans="1:11" x14ac:dyDescent="0.3">
      <c r="A476" s="4">
        <v>44993</v>
      </c>
      <c r="B476" s="102">
        <v>4.4269483959143201E-2</v>
      </c>
      <c r="C476" s="102">
        <v>1.35211488293595E-2</v>
      </c>
      <c r="D476" s="102">
        <v>-1.0818455602348403E-2</v>
      </c>
      <c r="E476" s="102">
        <v>-8.5238511057959977E-3</v>
      </c>
      <c r="F476" s="102">
        <v>2.0035618878005344E-2</v>
      </c>
      <c r="G476" s="102">
        <v>-4.8315632540241453E-2</v>
      </c>
      <c r="H476" s="102">
        <v>-4.3514666420522699E-3</v>
      </c>
      <c r="I476" s="102">
        <v>1.599293647267867E-2</v>
      </c>
      <c r="J476" s="102">
        <v>4.1239254839816747E-3</v>
      </c>
      <c r="K476" s="102">
        <v>-3.0600593044060365E-2</v>
      </c>
    </row>
    <row r="477" spans="1:11" x14ac:dyDescent="0.3">
      <c r="A477" s="4">
        <v>44994</v>
      </c>
      <c r="B477" s="102">
        <v>1.2403899730338211E-2</v>
      </c>
      <c r="C477" s="102">
        <v>-2.7792152897275495E-3</v>
      </c>
      <c r="D477" s="102">
        <v>6.6543421828985979E-3</v>
      </c>
      <c r="E477" s="102">
        <v>2.1727171113339921E-2</v>
      </c>
      <c r="F477" s="102">
        <v>2.1824530772588391E-3</v>
      </c>
      <c r="G477" s="102">
        <v>2.5033245828281849E-3</v>
      </c>
      <c r="H477" s="102">
        <v>2.9798759047282526E-5</v>
      </c>
      <c r="I477" s="102">
        <v>-4.8098380056912507E-3</v>
      </c>
      <c r="J477" s="102">
        <v>-6.5712246933913136E-3</v>
      </c>
      <c r="K477" s="102">
        <v>1.5783226954458721E-2</v>
      </c>
    </row>
    <row r="478" spans="1:11" x14ac:dyDescent="0.3">
      <c r="A478" s="4">
        <v>44995</v>
      </c>
      <c r="B478" s="102">
        <v>-1.7834988446771938E-2</v>
      </c>
      <c r="C478" s="102">
        <v>9.5455977434867369E-3</v>
      </c>
      <c r="D478" s="102">
        <v>1.1301298442841152E-2</v>
      </c>
      <c r="E478" s="102">
        <v>1.1894761258571879E-2</v>
      </c>
      <c r="F478" s="102">
        <v>1.7857142857142856E-2</v>
      </c>
      <c r="G478" s="102">
        <v>-2.0545853234400401E-2</v>
      </c>
      <c r="H478" s="102">
        <v>9.8332974655252446E-4</v>
      </c>
      <c r="I478" s="102">
        <v>3.07557117750425E-3</v>
      </c>
      <c r="J478" s="102">
        <v>-2.5987154372102421E-3</v>
      </c>
      <c r="K478" s="102">
        <v>1.484227770970039E-2</v>
      </c>
    </row>
    <row r="479" spans="1:11" x14ac:dyDescent="0.3">
      <c r="A479" s="4">
        <v>44998</v>
      </c>
      <c r="B479" s="102">
        <v>2.6527727718290858E-2</v>
      </c>
      <c r="C479" s="102">
        <v>-1.9324802087921846E-3</v>
      </c>
      <c r="D479" s="102">
        <v>1.2074575471330803E-2</v>
      </c>
      <c r="E479" s="102">
        <v>-1.7763996421362254E-3</v>
      </c>
      <c r="F479" s="102">
        <v>3.4231921266581087E-3</v>
      </c>
      <c r="G479" s="102">
        <v>3.7123266507528658E-3</v>
      </c>
      <c r="H479" s="102">
        <v>-2.434409854067651E-3</v>
      </c>
      <c r="I479" s="102">
        <v>0</v>
      </c>
      <c r="J479" s="102">
        <v>-8.6451816788220091E-3</v>
      </c>
      <c r="K479" s="102">
        <v>-2.3308867610094635E-2</v>
      </c>
    </row>
    <row r="480" spans="1:11" x14ac:dyDescent="0.3">
      <c r="A480" s="4">
        <v>44999</v>
      </c>
      <c r="B480" s="102">
        <v>3.1225941796702041E-2</v>
      </c>
      <c r="C480" s="102">
        <v>-2.8352503215305835E-3</v>
      </c>
      <c r="D480" s="102">
        <v>3.5644319139448363E-2</v>
      </c>
      <c r="E480" s="102">
        <v>-5.4145555665484754E-3</v>
      </c>
      <c r="F480" s="102">
        <v>-2.4733475479744138E-2</v>
      </c>
      <c r="G480" s="102">
        <v>4.7056712320186982E-2</v>
      </c>
      <c r="H480" s="102">
        <v>2.5928725845169418E-3</v>
      </c>
      <c r="I480" s="102">
        <v>1.1826544021025105E-2</v>
      </c>
      <c r="J480" s="102">
        <v>-6.4508651732640568E-3</v>
      </c>
      <c r="K480" s="102">
        <v>1.1230673316299952E-2</v>
      </c>
    </row>
    <row r="481" spans="1:11" x14ac:dyDescent="0.3">
      <c r="A481" s="4">
        <v>45000</v>
      </c>
      <c r="B481" s="102">
        <v>-1.6408082031887553E-2</v>
      </c>
      <c r="C481" s="102">
        <v>-5.2704164401809576E-3</v>
      </c>
      <c r="D481" s="102">
        <v>-5.2903306001771531E-2</v>
      </c>
      <c r="E481" s="102">
        <v>-1.1611570026272796E-2</v>
      </c>
      <c r="F481" s="102">
        <v>-1.9676432006996064E-2</v>
      </c>
      <c r="G481" s="102">
        <v>-1.5576469270219686E-2</v>
      </c>
      <c r="H481" s="102">
        <v>2.7581371660636736E-3</v>
      </c>
      <c r="I481" s="102">
        <v>1.2554069264069182E-2</v>
      </c>
      <c r="J481" s="102">
        <v>-3.607018901526796E-3</v>
      </c>
      <c r="K481" s="102">
        <v>-2.3831605186682044E-2</v>
      </c>
    </row>
    <row r="482" spans="1:11" x14ac:dyDescent="0.3">
      <c r="A482" s="4">
        <v>45001</v>
      </c>
      <c r="B482" s="102">
        <v>7.4309049660249487E-3</v>
      </c>
      <c r="C482" s="102">
        <v>1.4152266690036866E-2</v>
      </c>
      <c r="D482" s="102">
        <v>4.8296623664266522E-3</v>
      </c>
      <c r="E482" s="102">
        <v>-1.0053132235775681E-2</v>
      </c>
      <c r="F482" s="102">
        <v>2.1855486173059768E-2</v>
      </c>
      <c r="G482" s="102">
        <v>-2.1010769279415285E-2</v>
      </c>
      <c r="H482" s="102">
        <v>-1.4379378124876792E-3</v>
      </c>
      <c r="I482" s="102">
        <v>8.5510905750789477E-4</v>
      </c>
      <c r="J482" s="102">
        <v>-3.982149319438558E-3</v>
      </c>
      <c r="K482" s="102">
        <v>-1.5169471798280928E-2</v>
      </c>
    </row>
    <row r="483" spans="1:11" x14ac:dyDescent="0.3">
      <c r="A483" s="4">
        <v>45002</v>
      </c>
      <c r="B483" s="102">
        <v>1.6559345524977055E-3</v>
      </c>
      <c r="C483" s="102">
        <v>-2.8184886545157264E-3</v>
      </c>
      <c r="D483" s="102">
        <v>3.7698544263757524E-3</v>
      </c>
      <c r="E483" s="102">
        <v>-2.1010845241203519E-2</v>
      </c>
      <c r="F483" s="102">
        <v>1.1348756001745963E-2</v>
      </c>
      <c r="G483" s="102">
        <v>-3.4842124550789853E-2</v>
      </c>
      <c r="H483" s="102">
        <v>-5.0202129627174678E-4</v>
      </c>
      <c r="I483" s="102">
        <v>5.980307560871403E-3</v>
      </c>
      <c r="J483" s="102">
        <v>1.1024913562068148E-2</v>
      </c>
      <c r="K483" s="102">
        <v>-2.0938604595393612E-2</v>
      </c>
    </row>
    <row r="484" spans="1:11" x14ac:dyDescent="0.3">
      <c r="A484" s="4">
        <v>45006</v>
      </c>
      <c r="B484" s="102">
        <v>-4.8842775801293613E-2</v>
      </c>
      <c r="C484" s="102">
        <v>-1.7509989855561316E-2</v>
      </c>
      <c r="D484" s="102">
        <v>-9.8101864960788415E-3</v>
      </c>
      <c r="E484" s="102">
        <v>2.265367411835507E-3</v>
      </c>
      <c r="F484" s="102">
        <v>1.7263703064307294E-3</v>
      </c>
      <c r="G484" s="102">
        <v>-3.5184860314649243E-2</v>
      </c>
      <c r="H484" s="102">
        <v>7.5671460293958944E-4</v>
      </c>
      <c r="I484" s="102">
        <v>2.1231848035323372E-3</v>
      </c>
      <c r="J484" s="102">
        <v>-3.9544603215432165E-3</v>
      </c>
      <c r="K484" s="102">
        <v>-4.670550639134778E-3</v>
      </c>
    </row>
    <row r="485" spans="1:11" x14ac:dyDescent="0.3">
      <c r="A485" s="4">
        <v>45007</v>
      </c>
      <c r="B485" s="102">
        <v>4.4240289248361269E-3</v>
      </c>
      <c r="C485" s="102">
        <v>9.9635973472277685E-3</v>
      </c>
      <c r="D485" s="102">
        <v>-4.4714641754905176E-3</v>
      </c>
      <c r="E485" s="102">
        <v>2.355456728849533E-2</v>
      </c>
      <c r="F485" s="102">
        <v>3.0590262817750971E-2</v>
      </c>
      <c r="G485" s="102">
        <v>-1.6692697318079708E-2</v>
      </c>
      <c r="H485" s="102">
        <v>-4.9033689611791961E-3</v>
      </c>
      <c r="I485" s="102">
        <v>0</v>
      </c>
      <c r="J485" s="102">
        <v>1.1308942923327341E-2</v>
      </c>
      <c r="K485" s="102">
        <v>-1.0866954266882903E-2</v>
      </c>
    </row>
    <row r="486" spans="1:11" x14ac:dyDescent="0.3">
      <c r="A486" s="4">
        <v>45008</v>
      </c>
      <c r="B486" s="102">
        <v>5.8203402265441439E-3</v>
      </c>
      <c r="C486" s="102">
        <v>-1.8896787370255394E-2</v>
      </c>
      <c r="D486" s="102">
        <v>-1.8676742984234166E-2</v>
      </c>
      <c r="E486" s="102">
        <v>-1.0653908904260052E-2</v>
      </c>
      <c r="F486" s="102">
        <v>-1.7558528428093644E-2</v>
      </c>
      <c r="G486" s="102">
        <v>6.3178102825807436E-3</v>
      </c>
      <c r="H486" s="102">
        <v>-1.3604629555892512E-4</v>
      </c>
      <c r="I486" s="102">
        <v>-1.2288177966101701E-2</v>
      </c>
      <c r="J486" s="102">
        <v>-9.1600391572935341E-3</v>
      </c>
      <c r="K486" s="102">
        <v>9.9877655427666129E-4</v>
      </c>
    </row>
    <row r="487" spans="1:11" x14ac:dyDescent="0.3">
      <c r="A487" s="4">
        <v>45009</v>
      </c>
      <c r="B487" s="102">
        <v>-1.1104181592970537E-2</v>
      </c>
      <c r="C487" s="102">
        <v>-7.2935880293847266E-3</v>
      </c>
      <c r="D487" s="102">
        <v>-1.1172260992945453E-2</v>
      </c>
      <c r="E487" s="102">
        <v>-2.2633850076152543E-2</v>
      </c>
      <c r="F487" s="102">
        <v>2.1276595744680851E-2</v>
      </c>
      <c r="G487" s="102">
        <v>-6.292535583388556E-2</v>
      </c>
      <c r="H487" s="102">
        <v>8.0975153238840121E-4</v>
      </c>
      <c r="I487" s="102">
        <v>3.861046926685725E-3</v>
      </c>
      <c r="J487" s="102">
        <v>1.0019247782329554E-2</v>
      </c>
      <c r="K487" s="102">
        <v>-2.5193265153404913E-2</v>
      </c>
    </row>
    <row r="488" spans="1:11" x14ac:dyDescent="0.3">
      <c r="A488" s="4">
        <v>45012</v>
      </c>
      <c r="B488" s="102">
        <v>-5.3771674775215713E-3</v>
      </c>
      <c r="C488" s="102">
        <v>7.1257025172521727E-5</v>
      </c>
      <c r="D488" s="102">
        <v>1.0647476331248349E-3</v>
      </c>
      <c r="E488" s="102">
        <v>1.4944563813959885E-2</v>
      </c>
      <c r="F488" s="102">
        <v>-5.8333333333333336E-3</v>
      </c>
      <c r="G488" s="102">
        <v>-1.0075185445073296E-2</v>
      </c>
      <c r="H488" s="102">
        <v>-4.7517831621739929E-3</v>
      </c>
      <c r="I488" s="102">
        <v>-4.1880341880341752E-2</v>
      </c>
      <c r="J488" s="102">
        <v>0</v>
      </c>
      <c r="K488" s="102">
        <v>-6.9089300456023671E-3</v>
      </c>
    </row>
    <row r="489" spans="1:11" x14ac:dyDescent="0.3">
      <c r="A489" s="4">
        <v>45013</v>
      </c>
      <c r="B489" s="102">
        <v>1.9080763354025188E-3</v>
      </c>
      <c r="C489" s="102">
        <v>-2.1754716641497258E-2</v>
      </c>
      <c r="D489" s="102">
        <v>1.5319387616738515E-2</v>
      </c>
      <c r="E489" s="102">
        <v>-1.7764926942270714E-3</v>
      </c>
      <c r="F489" s="102">
        <v>-3.310980720871752E-2</v>
      </c>
      <c r="G489" s="102">
        <v>-4.9183741983712961E-2</v>
      </c>
      <c r="H489" s="102">
        <v>-1.0062038129128083E-3</v>
      </c>
      <c r="I489" s="102">
        <v>9.8126226583406702E-3</v>
      </c>
      <c r="J489" s="102">
        <v>-2.3066782239678566E-2</v>
      </c>
      <c r="K489" s="102">
        <v>-9.0183455547964645E-3</v>
      </c>
    </row>
    <row r="490" spans="1:11" x14ac:dyDescent="0.3">
      <c r="A490" s="4">
        <v>45014</v>
      </c>
      <c r="B490" s="102">
        <v>-9.839694549658308E-3</v>
      </c>
      <c r="C490" s="102">
        <v>-1.0207695465343846E-2</v>
      </c>
      <c r="D490" s="102">
        <v>-1.3203909393493456E-2</v>
      </c>
      <c r="E490" s="102">
        <v>2.4558089630938574E-2</v>
      </c>
      <c r="F490" s="102">
        <v>-1.3870827915041179E-2</v>
      </c>
      <c r="G490" s="102">
        <v>-5.0260814778448723E-2</v>
      </c>
      <c r="H490" s="102">
        <v>-2.4346642831414049E-3</v>
      </c>
      <c r="I490" s="102">
        <v>1.545940881004451E-2</v>
      </c>
      <c r="J490" s="102">
        <v>-4.2819320481507816E-3</v>
      </c>
      <c r="K490" s="102">
        <v>-1.2220411134176223E-2</v>
      </c>
    </row>
    <row r="491" spans="1:11" x14ac:dyDescent="0.3">
      <c r="A491" s="4">
        <v>45015</v>
      </c>
      <c r="B491" s="102">
        <v>-2.9652158992748031E-2</v>
      </c>
      <c r="C491" s="102">
        <v>6.6300440913137041E-4</v>
      </c>
      <c r="D491" s="102">
        <v>-7.0043037327809055E-4</v>
      </c>
      <c r="E491" s="102">
        <v>5.9827059796374853E-3</v>
      </c>
      <c r="F491" s="102">
        <v>1.7582417582417582E-3</v>
      </c>
      <c r="G491" s="102">
        <v>-1.9852315000664859E-2</v>
      </c>
      <c r="H491" s="102">
        <v>-2.3637105240283149E-3</v>
      </c>
      <c r="I491" s="102">
        <v>-8.264506307089985E-3</v>
      </c>
      <c r="J491" s="102">
        <v>1.6095395398991179E-2</v>
      </c>
      <c r="K491" s="102">
        <v>-1.4740773111830772E-2</v>
      </c>
    </row>
    <row r="492" spans="1:11" x14ac:dyDescent="0.3">
      <c r="A492" s="4">
        <v>45016</v>
      </c>
      <c r="B492" s="102">
        <v>1.6352777298192355E-2</v>
      </c>
      <c r="C492" s="102">
        <v>1.2367576924456166E-2</v>
      </c>
      <c r="D492" s="102">
        <v>-1.1582204919257941E-3</v>
      </c>
      <c r="E492" s="102">
        <v>3.5183957651694867E-2</v>
      </c>
      <c r="F492" s="102">
        <v>1.0092145677928916E-2</v>
      </c>
      <c r="G492" s="102">
        <v>9.6894053944323964E-3</v>
      </c>
      <c r="H492" s="102">
        <v>-3.5958565544791129E-3</v>
      </c>
      <c r="I492" s="102">
        <v>0</v>
      </c>
      <c r="J492" s="102">
        <v>4.2322387152190933E-3</v>
      </c>
      <c r="K492" s="102">
        <v>3.0724071600320615E-2</v>
      </c>
    </row>
    <row r="493" spans="1:11" x14ac:dyDescent="0.3">
      <c r="A493" s="4">
        <v>45019</v>
      </c>
      <c r="B493" s="102">
        <v>4.9731786298387967E-2</v>
      </c>
      <c r="C493" s="102">
        <v>1.6652032975638466E-2</v>
      </c>
      <c r="D493" s="102">
        <v>1.0856589373265115E-3</v>
      </c>
      <c r="E493" s="102">
        <v>3.4840435668489498E-3</v>
      </c>
      <c r="F493" s="102"/>
      <c r="G493" s="102">
        <v>0.1345820299359933</v>
      </c>
      <c r="H493" s="102">
        <v>3.6693730114421277E-3</v>
      </c>
      <c r="I493" s="102">
        <v>-4.3850879116264467E-4</v>
      </c>
      <c r="J493" s="102">
        <v>-7.2246775718259352E-3</v>
      </c>
      <c r="K493" s="102">
        <v>2.3587349736270014E-2</v>
      </c>
    </row>
    <row r="494" spans="1:11" x14ac:dyDescent="0.3">
      <c r="A494" s="4">
        <v>45020</v>
      </c>
      <c r="B494" s="102">
        <v>7.8960608827715606E-3</v>
      </c>
      <c r="C494" s="102">
        <v>7.8678716706015329E-3</v>
      </c>
      <c r="D494" s="102">
        <v>-1.5419056526427125E-3</v>
      </c>
      <c r="E494" s="102">
        <v>1.6879661988590609E-2</v>
      </c>
      <c r="F494" s="102"/>
      <c r="G494" s="102">
        <v>3.7501274775840004E-2</v>
      </c>
      <c r="H494" s="102">
        <v>4.6411565024779737E-3</v>
      </c>
      <c r="I494" s="102">
        <v>4.3870116548040114E-4</v>
      </c>
      <c r="J494" s="102">
        <v>-6.4280942202741831E-3</v>
      </c>
      <c r="K494" s="102">
        <v>4.6087589461251556E-2</v>
      </c>
    </row>
    <row r="495" spans="1:11" x14ac:dyDescent="0.3">
      <c r="A495" s="4">
        <v>45021</v>
      </c>
      <c r="B495" s="102">
        <v>-2.903229118655928E-2</v>
      </c>
      <c r="C495" s="102">
        <v>-4.2580997142624487E-4</v>
      </c>
      <c r="D495" s="102">
        <v>7.0930474101704721E-4</v>
      </c>
      <c r="E495" s="102">
        <v>-2.7968456039090952E-2</v>
      </c>
      <c r="F495" s="102"/>
      <c r="G495" s="102">
        <v>-5.7459961139867413E-2</v>
      </c>
      <c r="H495" s="102">
        <v>2.1647620763036554E-3</v>
      </c>
      <c r="I495" s="102">
        <v>0</v>
      </c>
      <c r="J495" s="102">
        <v>1.074230431547561E-2</v>
      </c>
      <c r="K495" s="102">
        <v>-1.5976736480834246E-2</v>
      </c>
    </row>
    <row r="496" spans="1:11" x14ac:dyDescent="0.3">
      <c r="A496" s="4">
        <v>45026</v>
      </c>
      <c r="B496" s="102">
        <v>-3.6386651159879761E-2</v>
      </c>
      <c r="C496" s="102">
        <v>9.9395110943934807E-4</v>
      </c>
      <c r="D496" s="102">
        <v>-5.2426677371072441E-4</v>
      </c>
      <c r="E496" s="102">
        <v>-1.9916993080869614E-2</v>
      </c>
      <c r="F496" s="102"/>
      <c r="G496" s="102">
        <v>-0.16756983813640927</v>
      </c>
      <c r="H496" s="102">
        <v>2.5594855733547892E-3</v>
      </c>
      <c r="I496" s="102">
        <v>0</v>
      </c>
      <c r="J496" s="102">
        <v>-8.4548402921782865E-4</v>
      </c>
      <c r="K496" s="102">
        <v>-1.7220195954725914E-2</v>
      </c>
    </row>
    <row r="497" spans="1:11" x14ac:dyDescent="0.3">
      <c r="A497" s="4">
        <v>45027</v>
      </c>
      <c r="B497" s="102">
        <v>1.8059396926007117E-2</v>
      </c>
      <c r="C497" s="102">
        <v>-1.1773785467924302E-2</v>
      </c>
      <c r="D497" s="102">
        <v>1.3150685221046941E-3</v>
      </c>
      <c r="E497" s="102">
        <v>3.3132507568373257E-2</v>
      </c>
      <c r="F497" s="102"/>
      <c r="G497" s="102">
        <v>9.1825228211856111E-2</v>
      </c>
      <c r="H497" s="102">
        <v>-4.6809640794103985E-3</v>
      </c>
      <c r="I497" s="102">
        <v>-3.508772083717999E-3</v>
      </c>
      <c r="J497" s="102">
        <v>-1.946082649086827E-2</v>
      </c>
      <c r="K497" s="102">
        <v>2.678345364747307E-2</v>
      </c>
    </row>
    <row r="498" spans="1:11" x14ac:dyDescent="0.3">
      <c r="A498" s="4">
        <v>45028</v>
      </c>
      <c r="B498" s="102">
        <v>2.2415837685775462E-2</v>
      </c>
      <c r="C498" s="102">
        <v>-9.8327661654397189E-3</v>
      </c>
      <c r="D498" s="102">
        <v>-2.7595013405277229E-3</v>
      </c>
      <c r="E498" s="102">
        <v>1.4392038910502919E-3</v>
      </c>
      <c r="F498" s="102"/>
      <c r="G498" s="102">
        <v>-1.6740228843556696E-2</v>
      </c>
      <c r="H498" s="102">
        <v>3.3788065774991477E-3</v>
      </c>
      <c r="I498" s="102">
        <v>1.3204666074148423E-3</v>
      </c>
      <c r="J498" s="102">
        <v>0</v>
      </c>
      <c r="K498" s="102">
        <v>1.462698683568983E-2</v>
      </c>
    </row>
    <row r="499" spans="1:11" x14ac:dyDescent="0.3">
      <c r="A499" s="4">
        <v>45029</v>
      </c>
      <c r="B499" s="102">
        <v>1.0094583093560337E-2</v>
      </c>
      <c r="C499" s="102">
        <v>2.1746118395254684E-4</v>
      </c>
      <c r="D499" s="102">
        <v>-1.0360867119940346E-4</v>
      </c>
      <c r="E499" s="102">
        <v>2.3955369473869816E-3</v>
      </c>
      <c r="F499" s="102"/>
      <c r="G499" s="102">
        <v>-3.2592835187243818E-2</v>
      </c>
      <c r="H499" s="102">
        <v>1.8549113598360816E-3</v>
      </c>
      <c r="I499" s="102">
        <v>0</v>
      </c>
      <c r="J499" s="102">
        <v>-2.4656135368007312E-3</v>
      </c>
      <c r="K499" s="102">
        <v>3.4839044566051053E-2</v>
      </c>
    </row>
    <row r="500" spans="1:11" x14ac:dyDescent="0.3">
      <c r="A500" s="4">
        <v>45030</v>
      </c>
      <c r="B500" s="102">
        <v>-9.3691705405309841E-3</v>
      </c>
      <c r="C500" s="102">
        <v>-2.1742417130913008E-3</v>
      </c>
      <c r="D500" s="102">
        <v>-2.145797485875232E-3</v>
      </c>
      <c r="E500" s="102">
        <v>3.6604393200010763E-5</v>
      </c>
      <c r="F500" s="102"/>
      <c r="G500" s="102">
        <v>5.7678442112806705E-2</v>
      </c>
      <c r="H500" s="102">
        <v>3.0459783463457181E-3</v>
      </c>
      <c r="I500" s="102">
        <v>0</v>
      </c>
      <c r="J500" s="102">
        <v>-6.1781752423447278E-4</v>
      </c>
      <c r="K500" s="102">
        <v>4.1095890410958978E-2</v>
      </c>
    </row>
    <row r="501" spans="1:11" x14ac:dyDescent="0.3">
      <c r="A501" s="4">
        <v>45033</v>
      </c>
      <c r="B501" s="102">
        <v>1.8757883251806325E-2</v>
      </c>
      <c r="C501" s="102">
        <v>-1.1692970468191568E-2</v>
      </c>
      <c r="D501" s="102">
        <v>-5.4876511944484572E-4</v>
      </c>
      <c r="E501" s="102">
        <v>-2.2054153139117834E-4</v>
      </c>
      <c r="F501" s="102"/>
      <c r="G501" s="102">
        <v>-4.364922663259363E-2</v>
      </c>
      <c r="H501" s="102">
        <v>-4.3764617150569719E-3</v>
      </c>
      <c r="I501" s="102">
        <v>-2.6373186813187363E-3</v>
      </c>
      <c r="J501" s="102">
        <v>-1.4220402066286166E-2</v>
      </c>
      <c r="K501" s="102">
        <v>7.3594558429972397E-3</v>
      </c>
    </row>
    <row r="502" spans="1:11" x14ac:dyDescent="0.3">
      <c r="A502" s="4">
        <v>45034</v>
      </c>
      <c r="B502" s="102">
        <v>-2.6767697329722135E-2</v>
      </c>
      <c r="C502" s="102">
        <v>-5.5113782952015264E-3</v>
      </c>
      <c r="D502" s="102">
        <v>-2.2481221718731719E-3</v>
      </c>
      <c r="E502" s="102">
        <v>4.7802612721290714E-4</v>
      </c>
      <c r="F502" s="102"/>
      <c r="G502" s="102">
        <v>-3.5154673953945441E-2</v>
      </c>
      <c r="H502" s="102">
        <v>-2.5284408059114737E-3</v>
      </c>
      <c r="I502" s="102">
        <v>2.644292523389543E-3</v>
      </c>
      <c r="J502" s="102">
        <v>-2.383302240030351E-3</v>
      </c>
      <c r="K502" s="102">
        <v>-2.3466837434883276E-2</v>
      </c>
    </row>
    <row r="503" spans="1:11" x14ac:dyDescent="0.3">
      <c r="A503" s="4">
        <v>45035</v>
      </c>
      <c r="B503" s="102">
        <v>2.7026729383431043E-3</v>
      </c>
      <c r="C503" s="102">
        <v>-1.0197333740099016E-2</v>
      </c>
      <c r="D503" s="102">
        <v>2.6696313831343537E-3</v>
      </c>
      <c r="E503" s="102">
        <v>1.0805244752275577E-2</v>
      </c>
      <c r="F503" s="102"/>
      <c r="G503" s="102">
        <v>1.7292287538108781E-3</v>
      </c>
      <c r="H503" s="102">
        <v>-4.0337757940142379E-3</v>
      </c>
      <c r="I503" s="102">
        <v>0</v>
      </c>
      <c r="J503" s="102">
        <v>-3.3949639755893879E-3</v>
      </c>
      <c r="K503" s="102">
        <v>3.8539559316718144E-3</v>
      </c>
    </row>
    <row r="504" spans="1:11" x14ac:dyDescent="0.3">
      <c r="A504" s="4">
        <v>45036</v>
      </c>
      <c r="B504" s="102">
        <v>2.3783525440824412E-3</v>
      </c>
      <c r="C504" s="102">
        <v>3.1354691434043441E-3</v>
      </c>
      <c r="D504" s="102">
        <v>1.1939837643281039E-3</v>
      </c>
      <c r="E504" s="102">
        <v>1.8544497931532932E-3</v>
      </c>
      <c r="F504" s="102"/>
      <c r="G504" s="102">
        <v>3.606430397355212E-2</v>
      </c>
      <c r="H504" s="102">
        <v>5.5015986408208095E-3</v>
      </c>
      <c r="I504" s="102">
        <v>0</v>
      </c>
      <c r="J504" s="102">
        <v>-8.5793458876951435E-3</v>
      </c>
      <c r="K504" s="102">
        <v>4.3134598986779647E-2</v>
      </c>
    </row>
    <row r="505" spans="1:11" x14ac:dyDescent="0.3">
      <c r="A505" s="4">
        <v>45037</v>
      </c>
      <c r="B505" s="102">
        <v>8.3833738163724813E-3</v>
      </c>
      <c r="C505" s="102">
        <v>-6.2513298805169492E-3</v>
      </c>
      <c r="D505" s="102">
        <v>2.3556893462642631E-3</v>
      </c>
      <c r="E505" s="102">
        <v>2.7943039986790407E-3</v>
      </c>
      <c r="F505" s="102"/>
      <c r="G505" s="102">
        <v>-2.4515030638046387E-2</v>
      </c>
      <c r="H505" s="102">
        <v>1.5233711071715691E-3</v>
      </c>
      <c r="I505" s="102">
        <v>0</v>
      </c>
      <c r="J505" s="102">
        <v>-3.0542734418727725E-3</v>
      </c>
      <c r="K505" s="102">
        <v>1.2340312022955506E-2</v>
      </c>
    </row>
    <row r="506" spans="1:11" x14ac:dyDescent="0.3">
      <c r="A506" s="4">
        <v>45040</v>
      </c>
      <c r="B506" s="102">
        <v>1.6627370168759203E-2</v>
      </c>
      <c r="C506" s="102">
        <v>4.0065815556332013E-2</v>
      </c>
      <c r="D506" s="102">
        <v>-7.7745184749902141E-3</v>
      </c>
      <c r="E506" s="102">
        <v>2.1715391194458322E-3</v>
      </c>
      <c r="F506" s="102"/>
      <c r="G506" s="102">
        <v>-2.8791026853836423E-2</v>
      </c>
      <c r="H506" s="102">
        <v>-5.0081864586343739E-3</v>
      </c>
      <c r="I506" s="102">
        <v>0</v>
      </c>
      <c r="J506" s="102">
        <v>1.0339590209904648E-2</v>
      </c>
      <c r="K506" s="102">
        <v>-2.4807528862597548E-2</v>
      </c>
    </row>
    <row r="507" spans="1:11" x14ac:dyDescent="0.3">
      <c r="A507" s="4">
        <v>45041</v>
      </c>
      <c r="B507" s="102">
        <v>-1.851424783839861E-3</v>
      </c>
      <c r="C507" s="102">
        <v>-6.4082028283728052E-3</v>
      </c>
      <c r="D507" s="102">
        <v>4.7593291974383917E-3</v>
      </c>
      <c r="E507" s="102">
        <v>-7.2220358166896368E-4</v>
      </c>
      <c r="F507" s="102"/>
      <c r="G507" s="102">
        <v>-4.3650276073041831E-2</v>
      </c>
      <c r="H507" s="102">
        <v>-2.3531453709792092E-3</v>
      </c>
      <c r="I507" s="102">
        <v>-4.395604395605083E-4</v>
      </c>
      <c r="J507" s="102">
        <v>5.0536817516873339E-3</v>
      </c>
      <c r="K507" s="102">
        <v>-1.7982434999229666E-2</v>
      </c>
    </row>
    <row r="508" spans="1:11" x14ac:dyDescent="0.3">
      <c r="A508" s="4">
        <v>45042</v>
      </c>
      <c r="B508" s="102">
        <v>1.2366585877172837E-2</v>
      </c>
      <c r="C508" s="102">
        <v>-1.1160326233201493E-2</v>
      </c>
      <c r="D508" s="102">
        <v>1.3491083275217535E-3</v>
      </c>
      <c r="E508" s="102">
        <v>-1.2576315535126909E-2</v>
      </c>
      <c r="F508" s="102"/>
      <c r="G508" s="102">
        <v>-1.8979437342104416E-2</v>
      </c>
      <c r="H508" s="102">
        <v>-5.3196116348931677E-4</v>
      </c>
      <c r="I508" s="102">
        <v>0</v>
      </c>
      <c r="J508" s="102">
        <v>-8.7995369354413443E-3</v>
      </c>
      <c r="K508" s="102">
        <v>-1.607856221702901E-2</v>
      </c>
    </row>
    <row r="509" spans="1:11" x14ac:dyDescent="0.3">
      <c r="A509" s="4">
        <v>45043</v>
      </c>
      <c r="B509" s="102">
        <v>-4.3212661407149612E-2</v>
      </c>
      <c r="C509" s="102">
        <v>-1.0260171315412337E-2</v>
      </c>
      <c r="D509" s="102">
        <v>-4.6711277108334205E-3</v>
      </c>
      <c r="E509" s="102">
        <v>1.6615933418543331E-2</v>
      </c>
      <c r="F509" s="102"/>
      <c r="G509" s="102">
        <v>-3.487753933332656E-2</v>
      </c>
      <c r="H509" s="102">
        <v>-2.8185515590741271E-3</v>
      </c>
      <c r="I509" s="102">
        <v>0</v>
      </c>
      <c r="J509" s="102">
        <v>-2.6632211362202941E-3</v>
      </c>
      <c r="K509" s="102">
        <v>-1.543349942275307E-2</v>
      </c>
    </row>
    <row r="510" spans="1:11" x14ac:dyDescent="0.3">
      <c r="A510" s="4"/>
      <c r="D510" s="5"/>
    </row>
    <row r="511" spans="1:11" x14ac:dyDescent="0.3">
      <c r="A511" s="4"/>
      <c r="D511" s="5"/>
    </row>
    <row r="512" spans="1:11" x14ac:dyDescent="0.3">
      <c r="A512" s="4"/>
      <c r="D512" s="5"/>
    </row>
    <row r="513" spans="1:4" x14ac:dyDescent="0.3">
      <c r="A513" s="4"/>
      <c r="D513" s="5"/>
    </row>
    <row r="514" spans="1:4" x14ac:dyDescent="0.3">
      <c r="D514" s="5"/>
    </row>
    <row r="515" spans="1:4" x14ac:dyDescent="0.3">
      <c r="D515" s="5"/>
    </row>
  </sheetData>
  <sheetProtection algorithmName="SHA-512" hashValue="PMfnCVxJ4fU4sQbIRLVvq0/tIZixJ+vDbqVRmybo9WrU3jDUCwL7ccymTsdSKh/VeNndYJO/e6NifvIN7D2xvw==" saltValue="ubiUvFQsYzhd/JZgfrdHcg==" spinCount="100000" sheet="1" formatCells="0" formatColumns="0" formatRows="0" insertColumns="0" insertRows="0" deleteColumns="0" deleteRows="0"/>
  <mergeCells count="4">
    <mergeCell ref="A3:K3"/>
    <mergeCell ref="A1:K1"/>
    <mergeCell ref="A4:K4"/>
    <mergeCell ref="A2:K2"/>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219CFB83-167D-47E9-9C9F-A58D752C6B10}">
          <x14:formula1>
            <xm:f>EMPRESAS!$B$2:$AN$2</xm:f>
          </x14:formula1>
          <xm:sqref>B5:K5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1B139-D7B8-4766-9521-63A82CEB5963}">
  <sheetPr codeName="Hoja4"/>
  <dimension ref="A1:T9"/>
  <sheetViews>
    <sheetView workbookViewId="0">
      <selection activeCell="F6" sqref="F6"/>
    </sheetView>
  </sheetViews>
  <sheetFormatPr baseColWidth="10" defaultRowHeight="16.5" x14ac:dyDescent="0.25"/>
  <cols>
    <col min="1" max="1" width="28.42578125" style="3" bestFit="1" customWidth="1"/>
    <col min="2" max="11" width="17.7109375" style="3" customWidth="1"/>
    <col min="12" max="20" width="11.42578125" style="3"/>
  </cols>
  <sheetData>
    <row r="1" spans="1:11" ht="24" x14ac:dyDescent="0.25">
      <c r="A1" s="158" t="s">
        <v>31</v>
      </c>
      <c r="B1" s="158"/>
      <c r="C1" s="158"/>
      <c r="D1" s="158"/>
      <c r="E1" s="158"/>
      <c r="F1" s="158"/>
      <c r="G1" s="158"/>
      <c r="H1" s="158"/>
      <c r="I1" s="158"/>
      <c r="J1" s="158"/>
      <c r="K1" s="158"/>
    </row>
    <row r="2" spans="1:11" ht="27" x14ac:dyDescent="0.25">
      <c r="A2" s="157" t="s">
        <v>29</v>
      </c>
      <c r="B2" s="157"/>
      <c r="C2" s="157"/>
      <c r="D2" s="157"/>
      <c r="E2" s="157"/>
      <c r="F2" s="157"/>
      <c r="G2" s="157"/>
      <c r="H2" s="157"/>
      <c r="I2" s="157"/>
      <c r="J2" s="157"/>
      <c r="K2" s="157"/>
    </row>
    <row r="5" spans="1:11" ht="17.25" thickBot="1" x14ac:dyDescent="0.3"/>
    <row r="6" spans="1:11" ht="17.25" thickBot="1" x14ac:dyDescent="0.3">
      <c r="B6" s="7" t="str">
        <f>RENDIMIENTOS!B5</f>
        <v>BIMBO</v>
      </c>
      <c r="C6" s="1" t="str">
        <f>RENDIMIENTOS!C5</f>
        <v>SONY</v>
      </c>
      <c r="D6" s="2" t="str">
        <f>RENDIMIENTOS!D5</f>
        <v>COCA COLA</v>
      </c>
      <c r="E6" s="1" t="str">
        <f>RENDIMIENTOS!E5</f>
        <v>STARBUCKS</v>
      </c>
      <c r="F6" s="2" t="str">
        <f>RENDIMIENTOS!F5</f>
        <v>WALMART</v>
      </c>
      <c r="G6" s="1" t="str">
        <f>RENDIMIENTOS!G5</f>
        <v>SPOTIFY</v>
      </c>
      <c r="H6" s="2" t="str">
        <f>RENDIMIENTOS!H5</f>
        <v>COPPEL</v>
      </c>
      <c r="I6" s="1" t="str">
        <f>RENDIMIENTOS!I5</f>
        <v>KRISPY KREME</v>
      </c>
      <c r="J6" s="2" t="str">
        <f>RENDIMIENTOS!J5</f>
        <v>COLGATE</v>
      </c>
      <c r="K6" s="8" t="str">
        <f>RENDIMIENTOS!K5</f>
        <v>GAMESA</v>
      </c>
    </row>
    <row r="7" spans="1:11" x14ac:dyDescent="0.25">
      <c r="A7" s="20" t="s">
        <v>26</v>
      </c>
      <c r="B7" s="9">
        <f>AVERAGE(RENDIMIENTOS!B6:B509)</f>
        <v>1.7358318211662595E-3</v>
      </c>
      <c r="C7" s="9">
        <f>AVERAGE(RENDIMIENTOS!C6:C509)</f>
        <v>3.7602965607205839E-3</v>
      </c>
      <c r="D7" s="9">
        <f>AVERAGE(RENDIMIENTOS!D6:D509)</f>
        <v>0.73442688867837536</v>
      </c>
      <c r="E7" s="9">
        <f>AVERAGE(RENDIMIENTOS!E6:E509)</f>
        <v>8.9865212012353991E-4</v>
      </c>
      <c r="F7" s="9">
        <f>AVERAGE(RENDIMIENTOS!F6:F509)</f>
        <v>9.2088368914591042E-4</v>
      </c>
      <c r="G7" s="9">
        <f>AVERAGE(RENDIMIENTOS!G6:G509)</f>
        <v>6.1473383802669601E-4</v>
      </c>
      <c r="H7" s="9">
        <f>AVERAGE(RENDIMIENTOS!H6:H509)</f>
        <v>2.7946542690133222E-4</v>
      </c>
      <c r="I7" s="9">
        <f>AVERAGE(RENDIMIENTOS!I6:I509)</f>
        <v>9.7112887670545414E-4</v>
      </c>
      <c r="J7" s="9">
        <f>AVERAGE(RENDIMIENTOS!J6:J509)</f>
        <v>3.3345958731661676E-4</v>
      </c>
      <c r="K7" s="15">
        <f>AVERAGE(RENDIMIENTOS!K6:K509)</f>
        <v>0.14045570528630563</v>
      </c>
    </row>
    <row r="8" spans="1:11" x14ac:dyDescent="0.25">
      <c r="A8" s="21" t="s">
        <v>27</v>
      </c>
      <c r="B8" s="9">
        <f>_xlfn.VAR.P(RENDIMIENTOS!B6:B509)</f>
        <v>5.7560276858679169E-4</v>
      </c>
      <c r="C8" s="9">
        <f>_xlfn.VAR.P(RENDIMIENTOS!C6:C509)</f>
        <v>7.4187649074850398E-3</v>
      </c>
      <c r="D8" s="9">
        <f>_xlfn.VAR.P(RENDIMIENTOS!D6:D509)</f>
        <v>271.16728513207403</v>
      </c>
      <c r="E8" s="9">
        <f>_xlfn.VAR.P(RENDIMIENTOS!E6:E509)</f>
        <v>3.2650544690880347E-4</v>
      </c>
      <c r="F8" s="9">
        <f>_xlfn.VAR.P(RENDIMIENTOS!F6:F509)</f>
        <v>4.4304574253698794E-4</v>
      </c>
      <c r="G8" s="9">
        <f>_xlfn.VAR.P(RENDIMIENTOS!G6:G509)</f>
        <v>1.1646046120944993E-3</v>
      </c>
      <c r="H8" s="9">
        <f>_xlfn.VAR.P(RENDIMIENTOS!H6:H509)</f>
        <v>1.8386933167012754E-5</v>
      </c>
      <c r="I8" s="9">
        <f>_xlfn.VAR.P(RENDIMIENTOS!I6:I509)</f>
        <v>3.0105262753044759E-4</v>
      </c>
      <c r="J8" s="9">
        <f>_xlfn.VAR.P(RENDIMIENTOS!J6:J509)</f>
        <v>2.3593380103084018E-4</v>
      </c>
      <c r="K8" s="15">
        <f>_xlfn.VAR.P(RENDIMIENTOS!K6:K509)</f>
        <v>1.4787723336759722</v>
      </c>
    </row>
    <row r="9" spans="1:11" ht="17.25" thickBot="1" x14ac:dyDescent="0.3">
      <c r="A9" s="32" t="s">
        <v>28</v>
      </c>
      <c r="B9" s="18">
        <f>_xlfn.STDEV.P(RENDIMIENTOS!B6:B509)</f>
        <v>2.3991722918264784E-2</v>
      </c>
      <c r="C9" s="18">
        <f>_xlfn.STDEV.P(RENDIMIENTOS!C6:C509)</f>
        <v>8.6132252423148897E-2</v>
      </c>
      <c r="D9" s="18">
        <f>_xlfn.STDEV.P(RENDIMIENTOS!D6:D509)</f>
        <v>16.467157773340062</v>
      </c>
      <c r="E9" s="18">
        <f>_xlfn.STDEV.P(RENDIMIENTOS!E6:E509)</f>
        <v>1.806946172161206E-2</v>
      </c>
      <c r="F9" s="18">
        <f>_xlfn.STDEV.P(RENDIMIENTOS!F6:F509)</f>
        <v>2.1048651798559165E-2</v>
      </c>
      <c r="G9" s="18">
        <f>_xlfn.STDEV.P(RENDIMIENTOS!G6:G509)</f>
        <v>3.412630381530498E-2</v>
      </c>
      <c r="H9" s="18">
        <f>_xlfn.STDEV.P(RENDIMIENTOS!H6:H509)</f>
        <v>4.2879987368249954E-3</v>
      </c>
      <c r="I9" s="18">
        <f>_xlfn.STDEV.P(RENDIMIENTOS!I6:I509)</f>
        <v>1.7350868206820302E-2</v>
      </c>
      <c r="J9" s="18">
        <f>_xlfn.STDEV.P(RENDIMIENTOS!J6:J509)</f>
        <v>1.5360136751697237E-2</v>
      </c>
      <c r="K9" s="19">
        <f>_xlfn.STDEV.P(RENDIMIENTOS!K6:K509)</f>
        <v>1.2160478336298997</v>
      </c>
    </row>
  </sheetData>
  <sheetProtection algorithmName="SHA-512" hashValue="c7zCOg+45VWYXKkYtqXhTYD0NkaOi+jh43pRo/A0hJCOQqGMUc+y8VjUMjW/486ZBZNTo+kbeTBg4U9NMF92jQ==" saltValue="zGJ0HxZp4V7zSFi/xtKRTg==" spinCount="100000" sheet="1" formatCells="0" formatColumns="0" formatRows="0" insertColumns="0" insertRows="0" deleteColumns="0" deleteRows="0"/>
  <mergeCells count="2">
    <mergeCell ref="A2:K2"/>
    <mergeCell ref="A1:K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BA322-8469-4BA2-BD4C-6D46ADA70138}">
  <sheetPr codeName="Hoja5"/>
  <dimension ref="A1:K27"/>
  <sheetViews>
    <sheetView zoomScale="90" zoomScaleNormal="90" workbookViewId="0">
      <selection activeCell="K4" sqref="K4"/>
    </sheetView>
  </sheetViews>
  <sheetFormatPr baseColWidth="10" defaultRowHeight="16.5" x14ac:dyDescent="0.25"/>
  <cols>
    <col min="1" max="11" width="17.7109375" style="3" customWidth="1"/>
  </cols>
  <sheetData>
    <row r="1" spans="1:11" ht="24.75" thickBot="1" x14ac:dyDescent="0.3">
      <c r="A1" s="158" t="s">
        <v>31</v>
      </c>
      <c r="B1" s="158"/>
      <c r="C1" s="158"/>
      <c r="D1" s="158"/>
      <c r="E1" s="158"/>
      <c r="F1" s="158"/>
      <c r="G1" s="158"/>
      <c r="H1" s="158"/>
      <c r="I1" s="158"/>
      <c r="J1" s="158"/>
      <c r="K1" s="158"/>
    </row>
    <row r="2" spans="1:11" ht="24.75" thickBot="1" x14ac:dyDescent="0.3">
      <c r="A2" s="159" t="s">
        <v>30</v>
      </c>
      <c r="B2" s="160"/>
      <c r="C2" s="160"/>
      <c r="D2" s="160"/>
      <c r="E2" s="160"/>
      <c r="F2" s="160"/>
      <c r="G2" s="160"/>
      <c r="H2" s="160"/>
      <c r="I2" s="160"/>
      <c r="J2" s="160"/>
      <c r="K2" s="161"/>
    </row>
    <row r="3" spans="1:11" ht="17.25" thickBot="1" x14ac:dyDescent="0.3">
      <c r="A3" s="10"/>
      <c r="B3" s="7" t="str">
        <f>RENDIMIENTOS!$B$5</f>
        <v>BIMBO</v>
      </c>
      <c r="C3" s="1" t="str">
        <f>RENDIMIENTOS!$C$5</f>
        <v>SONY</v>
      </c>
      <c r="D3" s="2" t="str">
        <f>RENDIMIENTOS!$D$5</f>
        <v>COCA COLA</v>
      </c>
      <c r="E3" s="1" t="str">
        <f>RENDIMIENTOS!$E$5</f>
        <v>STARBUCKS</v>
      </c>
      <c r="F3" s="2" t="str">
        <f>RENDIMIENTOS!$F$5</f>
        <v>WALMART</v>
      </c>
      <c r="G3" s="1" t="str">
        <f>RENDIMIENTOS!$G$5</f>
        <v>SPOTIFY</v>
      </c>
      <c r="H3" s="2" t="str">
        <f>RENDIMIENTOS!$H$5</f>
        <v>COPPEL</v>
      </c>
      <c r="I3" s="1" t="str">
        <f>RENDIMIENTOS!$I$5</f>
        <v>KRISPY KREME</v>
      </c>
      <c r="J3" s="2" t="str">
        <f>RENDIMIENTOS!$J$5</f>
        <v>COLGATE</v>
      </c>
      <c r="K3" s="8" t="str">
        <f>RENDIMIENTOS!$K$5</f>
        <v>GAMESA</v>
      </c>
    </row>
    <row r="4" spans="1:11" x14ac:dyDescent="0.25">
      <c r="A4" s="20" t="str">
        <f>RENDIMIENTOS!$B$5</f>
        <v>BIMBO</v>
      </c>
      <c r="B4" s="9">
        <f>_xlfn.COVARIANCE.P(RENDIMIENTOS!$B$6:$B$509,RENDIMIENTOS!B$6:B$509 )</f>
        <v>5.7560276858679277E-4</v>
      </c>
      <c r="C4" s="9">
        <f>_xlfn.COVARIANCE.P(RENDIMIENTOS!$B$6:$B$509,RENDIMIENTOS!C$6:C$509 )</f>
        <v>-7.9077362750535151E-5</v>
      </c>
      <c r="D4" s="9">
        <f>_xlfn.COVARIANCE.P(RENDIMIENTOS!$B$6:$B$509,RENDIMIENTOS!D$6:D$509 )</f>
        <v>2.1274706185085548E-2</v>
      </c>
      <c r="E4" s="9">
        <f>_xlfn.COVARIANCE.P(RENDIMIENTOS!$B$6:$B$509,RENDIMIENTOS!E$6:E$509 )</f>
        <v>-3.4630177082743396E-6</v>
      </c>
      <c r="F4" s="9">
        <f>_xlfn.COVARIANCE.P(RENDIMIENTOS!$B$6:$B$509,RENDIMIENTOS!F$6:F$509 )</f>
        <v>1.4249738880573272E-5</v>
      </c>
      <c r="G4" s="9">
        <f>_xlfn.COVARIANCE.P(RENDIMIENTOS!$B$6:$B$509,RENDIMIENTOS!G$6:G$509 )</f>
        <v>4.2079803182894286E-5</v>
      </c>
      <c r="H4" s="9">
        <f>_xlfn.COVARIANCE.P(RENDIMIENTOS!$B$6:$B$509,RENDIMIENTOS!H$6:H$509 )</f>
        <v>-4.6480307614072207E-6</v>
      </c>
      <c r="I4" s="9">
        <f>_xlfn.COVARIANCE.P(RENDIMIENTOS!$B$6:$B$509,RENDIMIENTOS!I$6:I$509 )</f>
        <v>-4.6589865986087419E-6</v>
      </c>
      <c r="J4" s="9">
        <f>_xlfn.COVARIANCE.P(RENDIMIENTOS!$B$6:$B$509,RENDIMIENTOS!J$6:J$509 )</f>
        <v>1.8377781611909124E-6</v>
      </c>
      <c r="K4" s="15">
        <f>_xlfn.COVARIANCE.P(RENDIMIENTOS!$B$6:$B$509,RENDIMIENTOS!K$6:K$509 )</f>
        <v>-1.1832508315829022E-5</v>
      </c>
    </row>
    <row r="5" spans="1:11" x14ac:dyDescent="0.25">
      <c r="A5" s="21" t="str">
        <f>RENDIMIENTOS!$C$5</f>
        <v>SONY</v>
      </c>
      <c r="B5" s="9">
        <f>_xlfn.COVARIANCE.P(RENDIMIENTOS!$C$6:$C$509,RENDIMIENTOS!B$6:B$509 )</f>
        <v>-7.9077362750535151E-5</v>
      </c>
      <c r="C5" s="9">
        <f>_xlfn.COVARIANCE.P(RENDIMIENTOS!$C$6:$C$509,RENDIMIENTOS!C$6:C$509 )</f>
        <v>7.4187649074850389E-3</v>
      </c>
      <c r="D5" s="9">
        <f>_xlfn.COVARIANCE.P(RENDIMIENTOS!$C$6:$C$509,RENDIMIENTOS!D$6:D$509 )</f>
        <v>-9.7257486348581862E-3</v>
      </c>
      <c r="E5" s="9">
        <f>_xlfn.COVARIANCE.P(RENDIMIENTOS!$C$6:$C$509,RENDIMIENTOS!E$6:E$509 )</f>
        <v>6.4431857348555574E-5</v>
      </c>
      <c r="F5" s="9">
        <f>_xlfn.COVARIANCE.P(RENDIMIENTOS!$C$6:$C$509,RENDIMIENTOS!F$6:F$509 )</f>
        <v>6.2029779329144389E-5</v>
      </c>
      <c r="G5" s="9">
        <f>_xlfn.COVARIANCE.P(RENDIMIENTOS!$C$6:$C$509,RENDIMIENTOS!G$6:G$509 )</f>
        <v>-6.8004644760774153E-6</v>
      </c>
      <c r="H5" s="9">
        <f>_xlfn.COVARIANCE.P(RENDIMIENTOS!$C$6:$C$509,RENDIMIENTOS!H$6:H$509 )</f>
        <v>-1.5549855833656059E-5</v>
      </c>
      <c r="I5" s="9">
        <f>_xlfn.COVARIANCE.P(RENDIMIENTOS!$C$6:$C$509,RENDIMIENTOS!I$6:I$509 )</f>
        <v>4.7551678447646193E-5</v>
      </c>
      <c r="J5" s="9">
        <f>_xlfn.COVARIANCE.P(RENDIMIENTOS!$C$6:$C$509,RENDIMIENTOS!J$6:J$509 )</f>
        <v>-1.6435230302240024E-5</v>
      </c>
      <c r="K5" s="15">
        <f>_xlfn.COVARIANCE.P(RENDIMIENTOS!$C$6:$C$509,RENDIMIENTOS!K$6:K$509 )</f>
        <v>-3.9495958227186859E-3</v>
      </c>
    </row>
    <row r="6" spans="1:11" x14ac:dyDescent="0.25">
      <c r="A6" s="22" t="str">
        <f>RENDIMIENTOS!$D$5</f>
        <v>COCA COLA</v>
      </c>
      <c r="B6" s="9">
        <f>_xlfn.COVARIANCE.P(RENDIMIENTOS!$D$6:$D$509,RENDIMIENTOS!B$6:B$509 )</f>
        <v>2.1274706185085548E-2</v>
      </c>
      <c r="C6" s="9">
        <f>_xlfn.COVARIANCE.P(RENDIMIENTOS!$D$6:$D$509,RENDIMIENTOS!C$6:C$509 )</f>
        <v>-9.7257486348581862E-3</v>
      </c>
      <c r="D6" s="9">
        <f>_xlfn.COVARIANCE.P(RENDIMIENTOS!$D$6:$D$509,RENDIMIENTOS!D$6:D$509 )</f>
        <v>271.1672851320742</v>
      </c>
      <c r="E6" s="9">
        <f>_xlfn.COVARIANCE.P(RENDIMIENTOS!$D$6:$D$509,RENDIMIENTOS!E$6:E$509 )</f>
        <v>2.4991253731920229E-3</v>
      </c>
      <c r="F6" s="9">
        <f>_xlfn.COVARIANCE.P(RENDIMIENTOS!$D$6:$D$509,RENDIMIENTOS!F$6:F$509 )</f>
        <v>1.096834274132426E-2</v>
      </c>
      <c r="G6" s="9">
        <f>_xlfn.COVARIANCE.P(RENDIMIENTOS!$D$6:$D$509,RENDIMIENTOS!G$6:G$509 )</f>
        <v>-6.978157175249862E-2</v>
      </c>
      <c r="H6" s="9">
        <f>_xlfn.COVARIANCE.P(RENDIMIENTOS!$D$6:$D$509,RENDIMIENTOS!H$6:H$509 )</f>
        <v>-4.4803587895689183E-3</v>
      </c>
      <c r="I6" s="9">
        <f>_xlfn.COVARIANCE.P(RENDIMIENTOS!$D$6:$D$509,RENDIMIENTOS!I$6:I$509 )</f>
        <v>-9.6462181799818955E-3</v>
      </c>
      <c r="J6" s="9">
        <f>_xlfn.COVARIANCE.P(RENDIMIENTOS!$D$6:$D$509,RENDIMIENTOS!J$6:J$509 )</f>
        <v>2.4919693523797618E-4</v>
      </c>
      <c r="K6" s="15">
        <f>_xlfn.COVARIANCE.P(RENDIMIENTOS!$D$6:$D$509,RENDIMIENTOS!K$6:K$509 )</f>
        <v>-0.13828382305081449</v>
      </c>
    </row>
    <row r="7" spans="1:11" x14ac:dyDescent="0.25">
      <c r="A7" s="21" t="str">
        <f>RENDIMIENTOS!$E$5</f>
        <v>STARBUCKS</v>
      </c>
      <c r="B7" s="9">
        <f>_xlfn.COVARIANCE.P(RENDIMIENTOS!$E$6:$E$509,RENDIMIENTOS!B$6:B$509 )</f>
        <v>-3.4630177082743396E-6</v>
      </c>
      <c r="C7" s="9">
        <f>_xlfn.COVARIANCE.P(RENDIMIENTOS!$E$6:$E$509,RENDIMIENTOS!C$6:C$509 )</f>
        <v>6.4431857348555574E-5</v>
      </c>
      <c r="D7" s="9">
        <f>_xlfn.COVARIANCE.P(RENDIMIENTOS!$E$6:$E$509,RENDIMIENTOS!D$6:D$509 )</f>
        <v>2.4991253731920229E-3</v>
      </c>
      <c r="E7" s="9">
        <f>_xlfn.COVARIANCE.P(RENDIMIENTOS!$E$6:$E$509,RENDIMIENTOS!E$6:E$509 )</f>
        <v>3.2650544690880287E-4</v>
      </c>
      <c r="F7" s="9">
        <f>_xlfn.COVARIANCE.P(RENDIMIENTOS!$E$6:$E$509,RENDIMIENTOS!F$6:F$509 )</f>
        <v>2.4311907492043224E-5</v>
      </c>
      <c r="G7" s="9">
        <f>_xlfn.COVARIANCE.P(RENDIMIENTOS!$E$6:$E$509,RENDIMIENTOS!G$6:G$509 )</f>
        <v>-2.528332275679632E-6</v>
      </c>
      <c r="H7" s="9">
        <f>_xlfn.COVARIANCE.P(RENDIMIENTOS!$E$6:$E$509,RENDIMIENTOS!H$6:H$509 )</f>
        <v>1.2459940484949589E-6</v>
      </c>
      <c r="I7" s="9">
        <f>_xlfn.COVARIANCE.P(RENDIMIENTOS!$E$6:$E$509,RENDIMIENTOS!I$6:I$509 )</f>
        <v>1.7420944740744957E-5</v>
      </c>
      <c r="J7" s="9">
        <f>_xlfn.COVARIANCE.P(RENDIMIENTOS!$E$6:$E$509,RENDIMIENTOS!J$6:J$509 )</f>
        <v>2.4437318348293352E-7</v>
      </c>
      <c r="K7" s="15">
        <f>_xlfn.COVARIANCE.P(RENDIMIENTOS!$E$6:$E$509,RENDIMIENTOS!K$6:K$509 )</f>
        <v>-1.4674917794541759E-3</v>
      </c>
    </row>
    <row r="8" spans="1:11" x14ac:dyDescent="0.25">
      <c r="A8" s="22" t="str">
        <f>RENDIMIENTOS!$F$5</f>
        <v>WALMART</v>
      </c>
      <c r="B8" s="9">
        <f>_xlfn.COVARIANCE.P(RENDIMIENTOS!$F$6:$F$509,RENDIMIENTOS!B$6:B$509 )</f>
        <v>1.4249738880573272E-5</v>
      </c>
      <c r="C8" s="9">
        <f>_xlfn.COVARIANCE.P(RENDIMIENTOS!$F$6:$F$509,RENDIMIENTOS!C$6:C$509 )</f>
        <v>6.2029779329144389E-5</v>
      </c>
      <c r="D8" s="9">
        <f>_xlfn.COVARIANCE.P(RENDIMIENTOS!$F$6:$F$509,RENDIMIENTOS!D$6:D$509 )</f>
        <v>1.096834274132426E-2</v>
      </c>
      <c r="E8" s="9">
        <f>_xlfn.COVARIANCE.P(RENDIMIENTOS!$F$6:$F$509,RENDIMIENTOS!E$6:E$509 )</f>
        <v>2.4311907492043224E-5</v>
      </c>
      <c r="F8" s="9">
        <f>_xlfn.COVARIANCE.P(RENDIMIENTOS!$F$6:$F$509,RENDIMIENTOS!F$6:F$509 )</f>
        <v>4.4304574253698756E-4</v>
      </c>
      <c r="G8" s="9">
        <f>_xlfn.COVARIANCE.P(RENDIMIENTOS!$F$6:$F$509,RENDIMIENTOS!G$6:G$509 )</f>
        <v>4.349659138493078E-6</v>
      </c>
      <c r="H8" s="9">
        <f>_xlfn.COVARIANCE.P(RENDIMIENTOS!$F$6:$F$509,RENDIMIENTOS!H$6:H$509 )</f>
        <v>-2.2512707763222111E-6</v>
      </c>
      <c r="I8" s="9">
        <f>_xlfn.COVARIANCE.P(RENDIMIENTOS!$F$6:$F$509,RENDIMIENTOS!I$6:I$509 )</f>
        <v>3.5381920664035283E-5</v>
      </c>
      <c r="J8" s="9">
        <f>_xlfn.COVARIANCE.P(RENDIMIENTOS!$F$6:$F$509,RENDIMIENTOS!J$6:J$509 )</f>
        <v>1.824727486044861E-5</v>
      </c>
      <c r="K8" s="15">
        <f>_xlfn.COVARIANCE.P(RENDIMIENTOS!$F$6:$F$509,RENDIMIENTOS!K$6:K$509 )</f>
        <v>-1.8877345478894789E-4</v>
      </c>
    </row>
    <row r="9" spans="1:11" x14ac:dyDescent="0.25">
      <c r="A9" s="21" t="str">
        <f>RENDIMIENTOS!$G$5</f>
        <v>SPOTIFY</v>
      </c>
      <c r="B9" s="9">
        <f>_xlfn.COVARIANCE.P(RENDIMIENTOS!$G$6:$G$509,RENDIMIENTOS!B$6:B$509 )</f>
        <v>4.2079803182894286E-5</v>
      </c>
      <c r="C9" s="9">
        <f>_xlfn.COVARIANCE.P(RENDIMIENTOS!$G$6:$G$509,RENDIMIENTOS!C$6:C$509 )</f>
        <v>-6.8004644760774153E-6</v>
      </c>
      <c r="D9" s="9">
        <f>_xlfn.COVARIANCE.P(RENDIMIENTOS!$G$6:$G$509,RENDIMIENTOS!D$6:D$509 )</f>
        <v>-6.978157175249862E-2</v>
      </c>
      <c r="E9" s="9">
        <f>_xlfn.COVARIANCE.P(RENDIMIENTOS!$G$6:$G$509,RENDIMIENTOS!E$6:E$509 )</f>
        <v>-2.528332275679632E-6</v>
      </c>
      <c r="F9" s="9">
        <f>_xlfn.COVARIANCE.P(RENDIMIENTOS!$G$6:$G$509,RENDIMIENTOS!F$6:F$509 )</f>
        <v>4.349659138493078E-6</v>
      </c>
      <c r="G9" s="9">
        <f>_xlfn.COVARIANCE.P(RENDIMIENTOS!$G$6:$G$509,RENDIMIENTOS!G$6:G$509 )</f>
        <v>1.1646046120944982E-3</v>
      </c>
      <c r="H9" s="9">
        <f>_xlfn.COVARIANCE.P(RENDIMIENTOS!$G$6:$G$509,RENDIMIENTOS!H$6:H$509 )</f>
        <v>5.4584725425057473E-6</v>
      </c>
      <c r="I9" s="9">
        <f>_xlfn.COVARIANCE.P(RENDIMIENTOS!$G$6:$G$509,RENDIMIENTOS!I$6:I$509 )</f>
        <v>-2.1305061662906298E-5</v>
      </c>
      <c r="J9" s="9">
        <f>_xlfn.COVARIANCE.P(RENDIMIENTOS!$G$6:$G$509,RENDIMIENTOS!J$6:J$509 )</f>
        <v>3.1669647492424116E-5</v>
      </c>
      <c r="K9" s="15">
        <f>_xlfn.COVARIANCE.P(RENDIMIENTOS!$G$6:$G$509,RENDIMIENTOS!K$6:K$509 )</f>
        <v>1.3413944755262517E-3</v>
      </c>
    </row>
    <row r="10" spans="1:11" x14ac:dyDescent="0.25">
      <c r="A10" s="22" t="str">
        <f>RENDIMIENTOS!$H$5</f>
        <v>COPPEL</v>
      </c>
      <c r="B10" s="9">
        <f>_xlfn.COVARIANCE.P(RENDIMIENTOS!$H$6:$H$509,RENDIMIENTOS!B$6:B$509 )</f>
        <v>-4.6480307614072207E-6</v>
      </c>
      <c r="C10" s="9">
        <f>_xlfn.COVARIANCE.P(RENDIMIENTOS!$H$6:$H$509,RENDIMIENTOS!C$6:C$509 )</f>
        <v>-1.5549855833656059E-5</v>
      </c>
      <c r="D10" s="9">
        <f>_xlfn.COVARIANCE.P(RENDIMIENTOS!$H$6:$H$509,RENDIMIENTOS!D$6:D$509 )</f>
        <v>-4.4803587895689183E-3</v>
      </c>
      <c r="E10" s="9">
        <f>_xlfn.COVARIANCE.P(RENDIMIENTOS!$H$6:$H$509,RENDIMIENTOS!E$6:E$509 )</f>
        <v>1.2459940484949589E-6</v>
      </c>
      <c r="F10" s="9">
        <f>_xlfn.COVARIANCE.P(RENDIMIENTOS!$H$6:$H$509,RENDIMIENTOS!F$6:F$509 )</f>
        <v>-2.2512707763222111E-6</v>
      </c>
      <c r="G10" s="9">
        <f>_xlfn.COVARIANCE.P(RENDIMIENTOS!$H$6:$H$509,RENDIMIENTOS!G$6:G$509 )</f>
        <v>5.4584725425057473E-6</v>
      </c>
      <c r="H10" s="9">
        <f>_xlfn.COVARIANCE.P(RENDIMIENTOS!$H$6:$H$509,RENDIMIENTOS!H$6:H$509 )</f>
        <v>1.8386933167012751E-5</v>
      </c>
      <c r="I10" s="9">
        <f>_xlfn.COVARIANCE.P(RENDIMIENTOS!$H$6:$H$509,RENDIMIENTOS!I$6:I$509 )</f>
        <v>1.693942962998659E-6</v>
      </c>
      <c r="J10" s="9">
        <f>_xlfn.COVARIANCE.P(RENDIMIENTOS!$H$6:$H$509,RENDIMIENTOS!J$6:J$509 )</f>
        <v>-7.6432080326297523E-6</v>
      </c>
      <c r="K10" s="15">
        <f>_xlfn.COVARIANCE.P(RENDIMIENTOS!$H$6:$H$509,RENDIMIENTOS!K$6:K$509 )</f>
        <v>-1.1698353101358595E-4</v>
      </c>
    </row>
    <row r="11" spans="1:11" x14ac:dyDescent="0.25">
      <c r="A11" s="21" t="str">
        <f>RENDIMIENTOS!$I$5</f>
        <v>KRISPY KREME</v>
      </c>
      <c r="B11" s="9">
        <f>_xlfn.COVARIANCE.P(RENDIMIENTOS!$I$6:$I$509,RENDIMIENTOS!B$6:B$509 )</f>
        <v>-4.6589865986087419E-6</v>
      </c>
      <c r="C11" s="9">
        <f>_xlfn.COVARIANCE.P(RENDIMIENTOS!$I$6:$I$509,RENDIMIENTOS!C$6:C$509 )</f>
        <v>4.7551678447646193E-5</v>
      </c>
      <c r="D11" s="9">
        <f>_xlfn.COVARIANCE.P(RENDIMIENTOS!$I$6:$I$509,RENDIMIENTOS!D$6:D$509 )</f>
        <v>-9.6462181799818955E-3</v>
      </c>
      <c r="E11" s="9">
        <f>_xlfn.COVARIANCE.P(RENDIMIENTOS!$I$6:$I$509,RENDIMIENTOS!E$6:E$509 )</f>
        <v>1.7420944740744957E-5</v>
      </c>
      <c r="F11" s="9">
        <f>_xlfn.COVARIANCE.P(RENDIMIENTOS!$I$6:$I$509,RENDIMIENTOS!F$6:F$509 )</f>
        <v>3.5381920664035283E-5</v>
      </c>
      <c r="G11" s="9">
        <f>_xlfn.COVARIANCE.P(RENDIMIENTOS!$I$6:$I$509,RENDIMIENTOS!G$6:G$509 )</f>
        <v>-2.1305061662906298E-5</v>
      </c>
      <c r="H11" s="9">
        <f>_xlfn.COVARIANCE.P(RENDIMIENTOS!$I$6:$I$509,RENDIMIENTOS!H$6:H$509 )</f>
        <v>1.693942962998659E-6</v>
      </c>
      <c r="I11" s="9">
        <f>_xlfn.COVARIANCE.P(RENDIMIENTOS!$I$6:$I$509,RENDIMIENTOS!I$6:I$509 )</f>
        <v>3.0105262753044742E-4</v>
      </c>
      <c r="J11" s="9">
        <f>_xlfn.COVARIANCE.P(RENDIMIENTOS!$I$6:$I$509,RENDIMIENTOS!J$6:J$509 )</f>
        <v>-7.3264654997644087E-6</v>
      </c>
      <c r="K11" s="15">
        <f>_xlfn.COVARIANCE.P(RENDIMIENTOS!$I$6:$I$509,RENDIMIENTOS!K$6:K$509 )</f>
        <v>-1.1017738883403617E-3</v>
      </c>
    </row>
    <row r="12" spans="1:11" x14ac:dyDescent="0.25">
      <c r="A12" s="22" t="str">
        <f>RENDIMIENTOS!$J$5</f>
        <v>COLGATE</v>
      </c>
      <c r="B12" s="9">
        <f>_xlfn.COVARIANCE.P(RENDIMIENTOS!$J$6:$J$509,RENDIMIENTOS!B$6:B$509 )</f>
        <v>1.8377781611909124E-6</v>
      </c>
      <c r="C12" s="9">
        <f>_xlfn.COVARIANCE.P(RENDIMIENTOS!$J$6:$J$509,RENDIMIENTOS!C$6:C$509 )</f>
        <v>-1.6435230302240024E-5</v>
      </c>
      <c r="D12" s="9">
        <f>_xlfn.COVARIANCE.P(RENDIMIENTOS!$J$6:$J$509,RENDIMIENTOS!D$6:D$509 )</f>
        <v>2.4919693523797618E-4</v>
      </c>
      <c r="E12" s="9">
        <f>_xlfn.COVARIANCE.P(RENDIMIENTOS!$J$6:$J$509,RENDIMIENTOS!E$6:E$509 )</f>
        <v>2.4437318348293352E-7</v>
      </c>
      <c r="F12" s="9">
        <f>_xlfn.COVARIANCE.P(RENDIMIENTOS!$J$6:$J$509,RENDIMIENTOS!F$6:F$509 )</f>
        <v>1.824727486044861E-5</v>
      </c>
      <c r="G12" s="9">
        <f>_xlfn.COVARIANCE.P(RENDIMIENTOS!$J$6:$J$509,RENDIMIENTOS!G$6:G$509 )</f>
        <v>3.1669647492424116E-5</v>
      </c>
      <c r="H12" s="9">
        <f>_xlfn.COVARIANCE.P(RENDIMIENTOS!$J$6:$J$509,RENDIMIENTOS!H$6:H$509 )</f>
        <v>-7.6432080326297523E-6</v>
      </c>
      <c r="I12" s="9">
        <f>_xlfn.COVARIANCE.P(RENDIMIENTOS!$J$6:$J$509,RENDIMIENTOS!I$6:I$509 )</f>
        <v>-7.3264654997644087E-6</v>
      </c>
      <c r="J12" s="9">
        <f>_xlfn.COVARIANCE.P(RENDIMIENTOS!$J$6:$J$509,RENDIMIENTOS!J$6:J$509 )</f>
        <v>2.3593380103084031E-4</v>
      </c>
      <c r="K12" s="15">
        <f>_xlfn.COVARIANCE.P(RENDIMIENTOS!$J$6:$J$509,RENDIMIENTOS!K$6:K$509 )</f>
        <v>-7.8236346009264877E-4</v>
      </c>
    </row>
    <row r="13" spans="1:11" ht="17.25" thickBot="1" x14ac:dyDescent="0.3">
      <c r="A13" s="23" t="str">
        <f>RENDIMIENTOS!$K$5</f>
        <v>GAMESA</v>
      </c>
      <c r="B13" s="18">
        <f>_xlfn.COVARIANCE.P(RENDIMIENTOS!$K$6:$K$509,RENDIMIENTOS!B$6:B$509 )</f>
        <v>-1.1832508315829022E-5</v>
      </c>
      <c r="C13" s="18">
        <f>_xlfn.COVARIANCE.P(RENDIMIENTOS!$K$6:$K$509,RENDIMIENTOS!C$6:C$509 )</f>
        <v>-3.9495958227186859E-3</v>
      </c>
      <c r="D13" s="18">
        <f>_xlfn.COVARIANCE.P(RENDIMIENTOS!$K$6:$K$509,RENDIMIENTOS!D$6:D$509 )</f>
        <v>-0.13828382305081449</v>
      </c>
      <c r="E13" s="18">
        <f>_xlfn.COVARIANCE.P(RENDIMIENTOS!$K$6:$K$509,RENDIMIENTOS!E$6:E$509 )</f>
        <v>-1.4674917794541759E-3</v>
      </c>
      <c r="F13" s="18">
        <f>_xlfn.COVARIANCE.P(RENDIMIENTOS!$K$6:$K$509,RENDIMIENTOS!F$6:F$509 )</f>
        <v>-1.8877345478894789E-4</v>
      </c>
      <c r="G13" s="18">
        <f>_xlfn.COVARIANCE.P(RENDIMIENTOS!$K$6:$K$509,RENDIMIENTOS!G$6:G$509 )</f>
        <v>1.3413944755262517E-3</v>
      </c>
      <c r="H13" s="18">
        <f>_xlfn.COVARIANCE.P(RENDIMIENTOS!$K$6:$K$509,RENDIMIENTOS!H$6:H$509 )</f>
        <v>-1.1698353101358595E-4</v>
      </c>
      <c r="I13" s="18">
        <f>_xlfn.COVARIANCE.P(RENDIMIENTOS!$K$6:$K$509,RENDIMIENTOS!I$6:I$509 )</f>
        <v>-1.1017738883403617E-3</v>
      </c>
      <c r="J13" s="18">
        <f>_xlfn.COVARIANCE.P(RENDIMIENTOS!$K$6:$K$509,RENDIMIENTOS!J$6:J$509 )</f>
        <v>-7.8236346009264877E-4</v>
      </c>
      <c r="K13" s="19">
        <f>_xlfn.COVARIANCE.P(RENDIMIENTOS!$K$6:$K$509,RENDIMIENTOS!K$6:K$509 )</f>
        <v>1.4787723336759755</v>
      </c>
    </row>
    <row r="15" spans="1:11" ht="17.25" thickBot="1" x14ac:dyDescent="0.3"/>
    <row r="16" spans="1:11" ht="24.75" thickBot="1" x14ac:dyDescent="0.3">
      <c r="A16" s="159" t="s">
        <v>60</v>
      </c>
      <c r="B16" s="160"/>
      <c r="C16" s="160"/>
      <c r="D16" s="160"/>
      <c r="E16" s="160"/>
      <c r="F16" s="160"/>
      <c r="G16" s="160"/>
      <c r="H16" s="160"/>
      <c r="I16" s="160"/>
      <c r="J16" s="160"/>
      <c r="K16" s="161"/>
    </row>
    <row r="17" spans="1:11" ht="17.25" thickBot="1" x14ac:dyDescent="0.3">
      <c r="B17" s="24" t="str">
        <f>RENDIMIENTOS!$B$5</f>
        <v>BIMBO</v>
      </c>
      <c r="C17" s="12" t="str">
        <f>RENDIMIENTOS!$C$5</f>
        <v>SONY</v>
      </c>
      <c r="D17" s="11" t="str">
        <f>RENDIMIENTOS!$D$5</f>
        <v>COCA COLA</v>
      </c>
      <c r="E17" s="12" t="str">
        <f>RENDIMIENTOS!$E$5</f>
        <v>STARBUCKS</v>
      </c>
      <c r="F17" s="11" t="str">
        <f>RENDIMIENTOS!$F$5</f>
        <v>WALMART</v>
      </c>
      <c r="G17" s="12" t="str">
        <f>RENDIMIENTOS!$G$5</f>
        <v>SPOTIFY</v>
      </c>
      <c r="H17" s="11" t="str">
        <f>RENDIMIENTOS!$H$5</f>
        <v>COPPEL</v>
      </c>
      <c r="I17" s="12" t="str">
        <f>RENDIMIENTOS!$I$5</f>
        <v>KRISPY KREME</v>
      </c>
      <c r="J17" s="11" t="str">
        <f>RENDIMIENTOS!$J$5</f>
        <v>COLGATE</v>
      </c>
      <c r="K17" s="13" t="str">
        <f>RENDIMIENTOS!$K$5</f>
        <v>GAMESA</v>
      </c>
    </row>
    <row r="18" spans="1:11" x14ac:dyDescent="0.25">
      <c r="A18" s="24" t="str">
        <f>RENDIMIENTOS!$B$5</f>
        <v>BIMBO</v>
      </c>
      <c r="B18" s="31">
        <f>CORREL(RENDIMIENTOS!$B$6:$B$509,RENDIMIENTOS!B$6:B$509 )</f>
        <v>0.99999999999999978</v>
      </c>
      <c r="C18" s="28">
        <f>CORREL(RENDIMIENTOS!$B$6:$B$509,RENDIMIENTOS!C$6:C$509 )</f>
        <v>-3.8267045739098303E-2</v>
      </c>
      <c r="D18" s="28">
        <f>CORREL(RENDIMIENTOS!$B$6:$B$509,RENDIMIENTOS!D$6:D$509 )</f>
        <v>5.3849724696673616E-2</v>
      </c>
      <c r="E18" s="28">
        <f>CORREL(RENDIMIENTOS!$B$6:$B$509,RENDIMIENTOS!E$6:E$509 )</f>
        <v>-7.9881840000481635E-3</v>
      </c>
      <c r="F18" s="28">
        <f>CORREL(RENDIMIENTOS!$B$6:$B$509,RENDIMIENTOS!F$6:F$509 )</f>
        <v>2.8185488282869684E-2</v>
      </c>
      <c r="G18" s="28">
        <f>CORREL(RENDIMIENTOS!$B$6:$B$509,RENDIMIENTOS!G$6:G$509 )</f>
        <v>5.1395253195415776E-2</v>
      </c>
      <c r="H18" s="28">
        <f>CORREL(RENDIMIENTOS!$B$6:$B$509,RENDIMIENTOS!H$6:H$509 )</f>
        <v>-4.5180695055826635E-2</v>
      </c>
      <c r="I18" s="28">
        <f>CORREL(RENDIMIENTOS!$B$6:$B$509,RENDIMIENTOS!I$6:I$509 )</f>
        <v>-1.1192028647743647E-2</v>
      </c>
      <c r="J18" s="28">
        <f>CORREL(RENDIMIENTOS!$B$6:$B$509,RENDIMIENTOS!J$6:J$509 )</f>
        <v>4.9869678342672414E-3</v>
      </c>
      <c r="K18" s="29">
        <f>CORREL(RENDIMIENTOS!$B$6:$B$509,RENDIMIENTOS!K$6:K$509 )</f>
        <v>-4.0556897286942676E-4</v>
      </c>
    </row>
    <row r="19" spans="1:11" x14ac:dyDescent="0.25">
      <c r="A19" s="16" t="str">
        <f>RENDIMIENTOS!$C$5</f>
        <v>SONY</v>
      </c>
      <c r="B19" s="25">
        <f>CORREL(RENDIMIENTOS!$C$6:$C$509,RENDIMIENTOS!B$6:B$509 )</f>
        <v>-3.8267045739098303E-2</v>
      </c>
      <c r="C19" s="27">
        <f>CORREL(RENDIMIENTOS!$C$6:$C$509,RENDIMIENTOS!C$6:C$509 )</f>
        <v>1</v>
      </c>
      <c r="D19" s="9">
        <f>CORREL(RENDIMIENTOS!$C$6:$C$509,RENDIMIENTOS!D$6:D$509 )</f>
        <v>-6.8570701090831564E-3</v>
      </c>
      <c r="E19" s="9">
        <f>CORREL(RENDIMIENTOS!$C$6:$C$509,RENDIMIENTOS!E$6:E$509 )</f>
        <v>4.139897903595207E-2</v>
      </c>
      <c r="F19" s="9">
        <f>CORREL(RENDIMIENTOS!$C$6:$C$509,RENDIMIENTOS!F$6:F$509 )</f>
        <v>3.364672078674303E-2</v>
      </c>
      <c r="G19" s="9">
        <f>CORREL(RENDIMIENTOS!$C$6:$C$509,RENDIMIENTOS!G$6:G$509 )</f>
        <v>-2.3135746603023979E-3</v>
      </c>
      <c r="H19" s="9">
        <f>CORREL(RENDIMIENTOS!$C$6:$C$509,RENDIMIENTOS!H$6:H$509 )</f>
        <v>-4.2102308938839234E-2</v>
      </c>
      <c r="I19" s="9">
        <f>CORREL(RENDIMIENTOS!$C$6:$C$509,RENDIMIENTOS!I$6:I$509 )</f>
        <v>3.1818436507024289E-2</v>
      </c>
      <c r="J19" s="9">
        <f>CORREL(RENDIMIENTOS!$C$6:$C$509,RENDIMIENTOS!J$6:J$509 )</f>
        <v>-1.242266881968947E-2</v>
      </c>
      <c r="K19" s="15">
        <f>CORREL(RENDIMIENTOS!$C$6:$C$509,RENDIMIENTOS!K$6:K$509 )</f>
        <v>-3.7708233874480857E-2</v>
      </c>
    </row>
    <row r="20" spans="1:11" x14ac:dyDescent="0.25">
      <c r="A20" s="14" t="str">
        <f>RENDIMIENTOS!$D$5</f>
        <v>COCA COLA</v>
      </c>
      <c r="B20" s="25">
        <f>CORREL(RENDIMIENTOS!$D$6:$D$509,RENDIMIENTOS!B$6:B$509 )</f>
        <v>5.3849724696673616E-2</v>
      </c>
      <c r="C20" s="9">
        <f>CORREL(RENDIMIENTOS!$D$6:$D$509,RENDIMIENTOS!C$6:C$509 )</f>
        <v>-6.8570701090831564E-3</v>
      </c>
      <c r="D20" s="27">
        <f>CORREL(RENDIMIENTOS!$D$6:$D$509,RENDIMIENTOS!D$6:D$509 )</f>
        <v>1.0000000000000002</v>
      </c>
      <c r="E20" s="9">
        <f>CORREL(RENDIMIENTOS!$D$6:$D$509,RENDIMIENTOS!E$6:E$509 )</f>
        <v>8.3989342592253446E-3</v>
      </c>
      <c r="F20" s="9">
        <f>CORREL(RENDIMIENTOS!$D$6:$D$509,RENDIMIENTOS!F$6:F$509 )</f>
        <v>3.1107305190903715E-2</v>
      </c>
      <c r="G20" s="9">
        <f>CORREL(RENDIMIENTOS!$D$6:$D$509,RENDIMIENTOS!G$6:G$509 )</f>
        <v>-0.12417462234735456</v>
      </c>
      <c r="H20" s="9">
        <f>CORREL(RENDIMIENTOS!$D$6:$D$509,RENDIMIENTOS!H$6:H$509 )</f>
        <v>-6.3451150133138318E-2</v>
      </c>
      <c r="I20" s="9">
        <f>CORREL(RENDIMIENTOS!$D$6:$D$509,RENDIMIENTOS!I$6:I$509 )</f>
        <v>-3.3761149348137232E-2</v>
      </c>
      <c r="J20" s="9">
        <f>CORREL(RENDIMIENTOS!$D$6:$D$509,RENDIMIENTOS!J$6:J$509 )</f>
        <v>9.8521035550376101E-4</v>
      </c>
      <c r="K20" s="15">
        <f>CORREL(RENDIMIENTOS!$D$6:$D$509,RENDIMIENTOS!K$6:K$509 )</f>
        <v>-6.9056104011586883E-3</v>
      </c>
    </row>
    <row r="21" spans="1:11" x14ac:dyDescent="0.25">
      <c r="A21" s="16" t="str">
        <f>RENDIMIENTOS!$E$5</f>
        <v>STARBUCKS</v>
      </c>
      <c r="B21" s="25">
        <f>CORREL(RENDIMIENTOS!$E$6:$E$509,RENDIMIENTOS!B$6:B$509 )</f>
        <v>-7.9881840000481635E-3</v>
      </c>
      <c r="C21" s="9">
        <f>CORREL(RENDIMIENTOS!$E$6:$E$509,RENDIMIENTOS!C$6:C$509 )</f>
        <v>4.139897903595207E-2</v>
      </c>
      <c r="D21" s="9">
        <f>CORREL(RENDIMIENTOS!$E$6:$E$509,RENDIMIENTOS!D$6:D$509 )</f>
        <v>8.3989342592253446E-3</v>
      </c>
      <c r="E21" s="27">
        <f>CORREL(RENDIMIENTOS!$E$6:$E$509,RENDIMIENTOS!E$6:E$509 )</f>
        <v>1</v>
      </c>
      <c r="F21" s="9">
        <f>CORREL(RENDIMIENTOS!$E$6:$E$509,RENDIMIENTOS!F$6:F$509 )</f>
        <v>6.3436576254986499E-2</v>
      </c>
      <c r="G21" s="9">
        <f>CORREL(RENDIMIENTOS!$E$6:$E$509,RENDIMIENTOS!G$6:G$509 )</f>
        <v>-4.1001493887501085E-3</v>
      </c>
      <c r="H21" s="9">
        <f>CORREL(RENDIMIENTOS!$E$6:$E$509,RENDIMIENTOS!H$6:H$509 )</f>
        <v>1.6081113003848249E-2</v>
      </c>
      <c r="I21" s="9">
        <f>CORREL(RENDIMIENTOS!$E$6:$E$509,RENDIMIENTOS!I$6:I$509 )</f>
        <v>5.5565506414881088E-2</v>
      </c>
      <c r="J21" s="9">
        <f>CORREL(RENDIMIENTOS!$E$6:$E$509,RENDIMIENTOS!J$6:J$509 )</f>
        <v>8.8046733582129819E-4</v>
      </c>
      <c r="K21" s="15">
        <f>CORREL(RENDIMIENTOS!$E$6:$E$509,RENDIMIENTOS!K$6:K$509 )</f>
        <v>-6.6785134253740955E-2</v>
      </c>
    </row>
    <row r="22" spans="1:11" x14ac:dyDescent="0.25">
      <c r="A22" s="14" t="str">
        <f>RENDIMIENTOS!$F$5</f>
        <v>WALMART</v>
      </c>
      <c r="B22" s="25">
        <f>CORREL(RENDIMIENTOS!$F$6:$F$509,RENDIMIENTOS!B$6:B$509 )</f>
        <v>2.8185488282869684E-2</v>
      </c>
      <c r="C22" s="9">
        <f>CORREL(RENDIMIENTOS!$F$6:$F$509,RENDIMIENTOS!C$6:C$509 )</f>
        <v>3.364672078674303E-2</v>
      </c>
      <c r="D22" s="9">
        <f>CORREL(RENDIMIENTOS!$F$6:$F$509,RENDIMIENTOS!D$6:D$509 )</f>
        <v>3.1107305190903715E-2</v>
      </c>
      <c r="E22" s="9">
        <f>CORREL(RENDIMIENTOS!$F$6:$F$509,RENDIMIENTOS!E$6:E$509 )</f>
        <v>6.3436576254986499E-2</v>
      </c>
      <c r="F22" s="27">
        <f>CORREL(RENDIMIENTOS!$F$6:$F$509,RENDIMIENTOS!F$6:F$509 )</f>
        <v>1.0000000000000002</v>
      </c>
      <c r="G22" s="9">
        <f>CORREL(RENDIMIENTOS!$F$6:$F$509,RENDIMIENTOS!G$6:G$509 )</f>
        <v>6.3647369460720308E-3</v>
      </c>
      <c r="H22" s="9">
        <f>CORREL(RENDIMIENTOS!$F$6:$F$509,RENDIMIENTOS!H$6:H$509 )</f>
        <v>-2.4795553543678628E-2</v>
      </c>
      <c r="I22" s="9">
        <f>CORREL(RENDIMIENTOS!$F$6:$F$509,RENDIMIENTOS!I$6:I$509 )</f>
        <v>9.5248323851050642E-2</v>
      </c>
      <c r="J22" s="9">
        <f>CORREL(RENDIMIENTOS!$F$6:$F$509,RENDIMIENTOS!J$6:J$509 )</f>
        <v>5.5751351681940002E-2</v>
      </c>
      <c r="K22" s="15">
        <f>CORREL(RENDIMIENTOS!$F$6:$F$509,RENDIMIENTOS!K$6:K$509 )</f>
        <v>-7.2511884899451656E-3</v>
      </c>
    </row>
    <row r="23" spans="1:11" x14ac:dyDescent="0.25">
      <c r="A23" s="16" t="str">
        <f>RENDIMIENTOS!$G$5</f>
        <v>SPOTIFY</v>
      </c>
      <c r="B23" s="25">
        <f>CORREL(RENDIMIENTOS!$G$6:$G$509,RENDIMIENTOS!B$6:B$509 )</f>
        <v>5.1395253195415776E-2</v>
      </c>
      <c r="C23" s="9">
        <f>CORREL(RENDIMIENTOS!$G$6:$G$509,RENDIMIENTOS!C$6:C$509 )</f>
        <v>-2.3135746603023979E-3</v>
      </c>
      <c r="D23" s="9">
        <f>CORREL(RENDIMIENTOS!$G$6:$G$509,RENDIMIENTOS!D$6:D$509 )</f>
        <v>-0.12417462234735456</v>
      </c>
      <c r="E23" s="9">
        <f>CORREL(RENDIMIENTOS!$G$6:$G$509,RENDIMIENTOS!E$6:E$509 )</f>
        <v>-4.1001493887501085E-3</v>
      </c>
      <c r="F23" s="9">
        <f>CORREL(RENDIMIENTOS!$G$6:$G$509,RENDIMIENTOS!F$6:F$509 )</f>
        <v>6.3647369460720308E-3</v>
      </c>
      <c r="G23" s="27">
        <f>CORREL(RENDIMIENTOS!$G$6:$G$509,RENDIMIENTOS!G$6:G$509 )</f>
        <v>1</v>
      </c>
      <c r="H23" s="9">
        <f>CORREL(RENDIMIENTOS!$G$6:$G$509,RENDIMIENTOS!H$6:H$509 )</f>
        <v>3.7301580055086138E-2</v>
      </c>
      <c r="I23" s="9">
        <f>CORREL(RENDIMIENTOS!$G$6:$G$509,RENDIMIENTOS!I$6:I$509 )</f>
        <v>-3.5980925633501533E-2</v>
      </c>
      <c r="J23" s="9">
        <f>CORREL(RENDIMIENTOS!$G$6:$G$509,RENDIMIENTOS!J$6:J$509 )</f>
        <v>6.0416963503855024E-2</v>
      </c>
      <c r="K23" s="15">
        <f>CORREL(RENDIMIENTOS!$G$6:$G$509,RENDIMIENTOS!K$6:K$509 )</f>
        <v>3.2323367664477874E-2</v>
      </c>
    </row>
    <row r="24" spans="1:11" x14ac:dyDescent="0.25">
      <c r="A24" s="14" t="str">
        <f>RENDIMIENTOS!$H$5</f>
        <v>COPPEL</v>
      </c>
      <c r="B24" s="25">
        <f>CORREL(RENDIMIENTOS!$H$6:$H$509,RENDIMIENTOS!B$6:B$509 )</f>
        <v>-4.5180695055826635E-2</v>
      </c>
      <c r="C24" s="9">
        <f>CORREL(RENDIMIENTOS!$H$6:$H$509,RENDIMIENTOS!C$6:C$509 )</f>
        <v>-4.2102308938839234E-2</v>
      </c>
      <c r="D24" s="9">
        <f>CORREL(RENDIMIENTOS!$H$6:$H$509,RENDIMIENTOS!D$6:D$509 )</f>
        <v>-6.3451150133138318E-2</v>
      </c>
      <c r="E24" s="9">
        <f>CORREL(RENDIMIENTOS!$H$6:$H$509,RENDIMIENTOS!E$6:E$509 )</f>
        <v>1.6081113003848249E-2</v>
      </c>
      <c r="F24" s="9">
        <f>CORREL(RENDIMIENTOS!$H$6:$H$509,RENDIMIENTOS!F$6:F$509 )</f>
        <v>-2.4795553543678628E-2</v>
      </c>
      <c r="G24" s="9">
        <f>CORREL(RENDIMIENTOS!$H$6:$H$509,RENDIMIENTOS!G$6:G$509 )</f>
        <v>3.7301580055086138E-2</v>
      </c>
      <c r="H24" s="27">
        <f>CORREL(RENDIMIENTOS!$H$6:$H$509,RENDIMIENTOS!H$6:H$509 )</f>
        <v>1.0000000000000002</v>
      </c>
      <c r="I24" s="9">
        <f>CORREL(RENDIMIENTOS!$H$6:$H$509,RENDIMIENTOS!I$6:I$509 )</f>
        <v>2.2767897276036741E-2</v>
      </c>
      <c r="J24" s="9">
        <f>CORREL(RENDIMIENTOS!$H$6:$H$509,RENDIMIENTOS!J$6:J$509 )</f>
        <v>-0.11604487080732544</v>
      </c>
      <c r="K24" s="15">
        <f>CORREL(RENDIMIENTOS!$H$6:$H$509,RENDIMIENTOS!K$6:K$509 )</f>
        <v>-2.2434656210326021E-2</v>
      </c>
    </row>
    <row r="25" spans="1:11" x14ac:dyDescent="0.25">
      <c r="A25" s="16" t="str">
        <f>RENDIMIENTOS!$I$5</f>
        <v>KRISPY KREME</v>
      </c>
      <c r="B25" s="25">
        <f>CORREL(RENDIMIENTOS!$I$6:$I$509,RENDIMIENTOS!B$6:B$509 )</f>
        <v>-1.1192028647743647E-2</v>
      </c>
      <c r="C25" s="9">
        <f>CORREL(RENDIMIENTOS!$I$6:$I$509,RENDIMIENTOS!C$6:C$509 )</f>
        <v>3.1818436507024289E-2</v>
      </c>
      <c r="D25" s="9">
        <f>CORREL(RENDIMIENTOS!$I$6:$I$509,RENDIMIENTOS!D$6:D$509 )</f>
        <v>-3.3761149348137232E-2</v>
      </c>
      <c r="E25" s="9">
        <f>CORREL(RENDIMIENTOS!$I$6:$I$509,RENDIMIENTOS!E$6:E$509 )</f>
        <v>5.5565506414881088E-2</v>
      </c>
      <c r="F25" s="9">
        <f>CORREL(RENDIMIENTOS!$I$6:$I$509,RENDIMIENTOS!F$6:F$509 )</f>
        <v>9.5248323851050642E-2</v>
      </c>
      <c r="G25" s="9">
        <f>CORREL(RENDIMIENTOS!$I$6:$I$509,RENDIMIENTOS!G$6:G$509 )</f>
        <v>-3.5980925633501533E-2</v>
      </c>
      <c r="H25" s="9">
        <f>CORREL(RENDIMIENTOS!$I$6:$I$509,RENDIMIENTOS!H$6:H$509 )</f>
        <v>2.2767897276036741E-2</v>
      </c>
      <c r="I25" s="27">
        <f>CORREL(RENDIMIENTOS!$I$6:$I$509,RENDIMIENTOS!I$6:I$509 )</f>
        <v>0.99999999999999978</v>
      </c>
      <c r="J25" s="9">
        <f>CORREL(RENDIMIENTOS!$I$6:$I$509,RENDIMIENTOS!J$6:J$509 )</f>
        <v>-2.7490220010480775E-2</v>
      </c>
      <c r="K25" s="15">
        <f>CORREL(RENDIMIENTOS!$I$6:$I$509,RENDIMIENTOS!K$6:K$509 )</f>
        <v>-5.2218044756771942E-2</v>
      </c>
    </row>
    <row r="26" spans="1:11" x14ac:dyDescent="0.25">
      <c r="A26" s="14" t="str">
        <f>RENDIMIENTOS!$J$5</f>
        <v>COLGATE</v>
      </c>
      <c r="B26" s="25">
        <f>CORREL(RENDIMIENTOS!$J$6:$J$509,RENDIMIENTOS!B$6:B$509 )</f>
        <v>4.9869678342672414E-3</v>
      </c>
      <c r="C26" s="9">
        <f>CORREL(RENDIMIENTOS!$J$6:$J$509,RENDIMIENTOS!C$6:C$509 )</f>
        <v>-1.242266881968947E-2</v>
      </c>
      <c r="D26" s="9">
        <f>CORREL(RENDIMIENTOS!$J$6:$J$509,RENDIMIENTOS!D$6:D$509 )</f>
        <v>9.8521035550376101E-4</v>
      </c>
      <c r="E26" s="9">
        <f>CORREL(RENDIMIENTOS!$J$6:$J$509,RENDIMIENTOS!E$6:E$509 )</f>
        <v>8.8046733582129819E-4</v>
      </c>
      <c r="F26" s="9">
        <f>CORREL(RENDIMIENTOS!$J$6:$J$509,RENDIMIENTOS!F$6:F$509 )</f>
        <v>5.5751351681940002E-2</v>
      </c>
      <c r="G26" s="9">
        <f>CORREL(RENDIMIENTOS!$J$6:$J$509,RENDIMIENTOS!G$6:G$509 )</f>
        <v>6.0416963503855024E-2</v>
      </c>
      <c r="H26" s="9">
        <f>CORREL(RENDIMIENTOS!$J$6:$J$509,RENDIMIENTOS!H$6:H$509 )</f>
        <v>-0.11604487080732544</v>
      </c>
      <c r="I26" s="9">
        <f>CORREL(RENDIMIENTOS!$J$6:$J$509,RENDIMIENTOS!I$6:I$509 )</f>
        <v>-2.7490220010480775E-2</v>
      </c>
      <c r="J26" s="27">
        <f>CORREL(RENDIMIENTOS!$J$6:$J$509,RENDIMIENTOS!J$6:J$509 )</f>
        <v>1</v>
      </c>
      <c r="K26" s="15">
        <f>CORREL(RENDIMIENTOS!$J$6:$J$509,RENDIMIENTOS!K$6:K$509 )</f>
        <v>-4.1885414549058649E-2</v>
      </c>
    </row>
    <row r="27" spans="1:11" ht="17.25" thickBot="1" x14ac:dyDescent="0.3">
      <c r="A27" s="17" t="str">
        <f>RENDIMIENTOS!$K$5</f>
        <v>GAMESA</v>
      </c>
      <c r="B27" s="26">
        <f>CORREL(RENDIMIENTOS!$K$6:$K$509,RENDIMIENTOS!B$6:B$509 )</f>
        <v>-4.0556897286942676E-4</v>
      </c>
      <c r="C27" s="18">
        <f>CORREL(RENDIMIENTOS!$K$6:$K$509,RENDIMIENTOS!C$6:C$509 )</f>
        <v>-3.7708233874480857E-2</v>
      </c>
      <c r="D27" s="18">
        <f>CORREL(RENDIMIENTOS!$K$6:$K$509,RENDIMIENTOS!D$6:D$509 )</f>
        <v>-6.9056104011586883E-3</v>
      </c>
      <c r="E27" s="18">
        <f>CORREL(RENDIMIENTOS!$K$6:$K$509,RENDIMIENTOS!E$6:E$509 )</f>
        <v>-6.6785134253740955E-2</v>
      </c>
      <c r="F27" s="18">
        <f>CORREL(RENDIMIENTOS!$K$6:$K$509,RENDIMIENTOS!F$6:F$509 )</f>
        <v>-7.2511884899451656E-3</v>
      </c>
      <c r="G27" s="18">
        <f>CORREL(RENDIMIENTOS!$K$6:$K$509,RENDIMIENTOS!G$6:G$509 )</f>
        <v>3.2323367664477874E-2</v>
      </c>
      <c r="H27" s="18">
        <f>CORREL(RENDIMIENTOS!$K$6:$K$509,RENDIMIENTOS!H$6:H$509 )</f>
        <v>-2.2434656210326021E-2</v>
      </c>
      <c r="I27" s="18">
        <f>CORREL(RENDIMIENTOS!$K$6:$K$509,RENDIMIENTOS!I$6:I$509 )</f>
        <v>-5.2218044756771942E-2</v>
      </c>
      <c r="J27" s="18">
        <f>CORREL(RENDIMIENTOS!$K$6:$K$509,RENDIMIENTOS!J$6:J$509 )</f>
        <v>-4.1885414549058649E-2</v>
      </c>
      <c r="K27" s="30">
        <f>CORREL(RENDIMIENTOS!$K$6:$K$509,RENDIMIENTOS!K$6:K$509 )</f>
        <v>1.0000000000000002</v>
      </c>
    </row>
  </sheetData>
  <sheetProtection sheet="1" formatCells="0" formatColumns="0" formatRows="0" insertColumns="0" insertRows="0" deleteColumns="0" deleteRows="0"/>
  <mergeCells count="3">
    <mergeCell ref="A2:K2"/>
    <mergeCell ref="A1:K1"/>
    <mergeCell ref="A16:K1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28CB2-DDE0-4118-B010-98D6C59864A8}">
  <sheetPr codeName="Hoja6"/>
  <dimension ref="A1:W28"/>
  <sheetViews>
    <sheetView topLeftCell="C1" zoomScale="91" zoomScaleNormal="91" workbookViewId="0">
      <selection sqref="A1:N1"/>
    </sheetView>
  </sheetViews>
  <sheetFormatPr baseColWidth="10" defaultRowHeight="16.5" x14ac:dyDescent="0.25"/>
  <cols>
    <col min="1" max="1" width="38.42578125" style="3" bestFit="1" customWidth="1"/>
    <col min="2" max="13" width="19.85546875" style="3" customWidth="1"/>
    <col min="14" max="14" width="30.7109375" style="3" customWidth="1"/>
    <col min="15" max="19" width="17.7109375" style="3" customWidth="1"/>
  </cols>
  <sheetData>
    <row r="1" spans="1:23" ht="24" x14ac:dyDescent="0.25">
      <c r="A1" s="158" t="s">
        <v>31</v>
      </c>
      <c r="B1" s="158"/>
      <c r="C1" s="158"/>
      <c r="D1" s="158"/>
      <c r="E1" s="158"/>
      <c r="F1" s="158"/>
      <c r="G1" s="158"/>
      <c r="H1" s="158"/>
      <c r="I1" s="158"/>
      <c r="J1" s="158"/>
      <c r="K1" s="158"/>
      <c r="L1" s="158"/>
      <c r="M1" s="158"/>
      <c r="N1" s="158"/>
      <c r="O1" s="68"/>
      <c r="P1" s="68"/>
      <c r="Q1" s="68"/>
      <c r="R1" s="68"/>
      <c r="S1" s="68"/>
      <c r="T1" s="68"/>
      <c r="U1" s="68"/>
      <c r="V1" s="68"/>
      <c r="W1" s="68"/>
    </row>
    <row r="2" spans="1:23" ht="18.75" thickBot="1" x14ac:dyDescent="0.3">
      <c r="A2" s="162" t="s">
        <v>29</v>
      </c>
      <c r="B2" s="162"/>
      <c r="C2" s="162"/>
      <c r="D2" s="162"/>
      <c r="E2" s="162"/>
      <c r="F2" s="162"/>
      <c r="G2" s="162"/>
      <c r="H2" s="162"/>
      <c r="I2" s="162"/>
      <c r="J2" s="162"/>
      <c r="K2" s="162"/>
    </row>
    <row r="3" spans="1:23" ht="17.25" thickBot="1" x14ac:dyDescent="0.3">
      <c r="B3" s="7" t="str">
        <f>MEDIDASESTADISTICAS!$B$6</f>
        <v>BIMBO</v>
      </c>
      <c r="C3" s="1" t="str">
        <f>MEDIDASESTADISTICAS!$C$6</f>
        <v>SONY</v>
      </c>
      <c r="D3" s="2" t="str">
        <f>MEDIDASESTADISTICAS!$D$6</f>
        <v>COCA COLA</v>
      </c>
      <c r="E3" s="1" t="str">
        <f>MEDIDASESTADISTICAS!$E$6</f>
        <v>STARBUCKS</v>
      </c>
      <c r="F3" s="2" t="str">
        <f>MEDIDASESTADISTICAS!$F$6</f>
        <v>WALMART</v>
      </c>
      <c r="G3" s="1" t="str">
        <f>MEDIDASESTADISTICAS!$G$6</f>
        <v>SPOTIFY</v>
      </c>
      <c r="H3" s="2" t="str">
        <f>MEDIDASESTADISTICAS!$H$6</f>
        <v>COPPEL</v>
      </c>
      <c r="I3" s="1" t="str">
        <f>MEDIDASESTADISTICAS!$I$6</f>
        <v>KRISPY KREME</v>
      </c>
      <c r="J3" s="2" t="str">
        <f>MEDIDASESTADISTICAS!$J$6</f>
        <v>COLGATE</v>
      </c>
      <c r="K3" s="8" t="str">
        <f>MEDIDASESTADISTICAS!$K$6</f>
        <v>GAMESA</v>
      </c>
    </row>
    <row r="4" spans="1:23" x14ac:dyDescent="0.25">
      <c r="A4" s="20" t="str">
        <f>MEDIDASESTADISTICAS!$A$7</f>
        <v>PROMEDIO</v>
      </c>
      <c r="B4" s="38">
        <f>MEDIDASESTADISTICAS!$B$7</f>
        <v>1.7358318211662595E-3</v>
      </c>
      <c r="C4" s="28">
        <f>MEDIDASESTADISTICAS!$C$7</f>
        <v>3.7602965607205839E-3</v>
      </c>
      <c r="D4" s="28">
        <f>MEDIDASESTADISTICAS!$D$7</f>
        <v>0.73442688867837536</v>
      </c>
      <c r="E4" s="28">
        <f>MEDIDASESTADISTICAS!$E$7</f>
        <v>8.9865212012353991E-4</v>
      </c>
      <c r="F4" s="28">
        <f>MEDIDASESTADISTICAS!$F$7</f>
        <v>9.2088368914591042E-4</v>
      </c>
      <c r="G4" s="28">
        <f>MEDIDASESTADISTICAS!$G$7</f>
        <v>6.1473383802669601E-4</v>
      </c>
      <c r="H4" s="28">
        <f>MEDIDASESTADISTICAS!$H$7</f>
        <v>2.7946542690133222E-4</v>
      </c>
      <c r="I4" s="28">
        <f>MEDIDASESTADISTICAS!$I$7</f>
        <v>9.7112887670545414E-4</v>
      </c>
      <c r="J4" s="28">
        <f>MEDIDASESTADISTICAS!J$7</f>
        <v>3.3345958731661676E-4</v>
      </c>
      <c r="K4" s="29">
        <f>MEDIDASESTADISTICAS!$K$7</f>
        <v>0.14045570528630563</v>
      </c>
    </row>
    <row r="5" spans="1:23" x14ac:dyDescent="0.25">
      <c r="A5" s="21" t="str">
        <f>MEDIDASESTADISTICAS!$A$8</f>
        <v>VARIANZA</v>
      </c>
      <c r="B5" s="25">
        <f>MEDIDASESTADISTICAS!$B$8</f>
        <v>5.7560276858679169E-4</v>
      </c>
      <c r="C5" s="9">
        <f>MEDIDASESTADISTICAS!$C$8</f>
        <v>7.4187649074850398E-3</v>
      </c>
      <c r="D5" s="9">
        <f>MEDIDASESTADISTICAS!$D$8</f>
        <v>271.16728513207403</v>
      </c>
      <c r="E5" s="9">
        <f>MEDIDASESTADISTICAS!$E$8</f>
        <v>3.2650544690880347E-4</v>
      </c>
      <c r="F5" s="9">
        <f>MEDIDASESTADISTICAS!$F$8</f>
        <v>4.4304574253698794E-4</v>
      </c>
      <c r="G5" s="9">
        <f>MEDIDASESTADISTICAS!$G$8</f>
        <v>1.1646046120944993E-3</v>
      </c>
      <c r="H5" s="9">
        <f>MEDIDASESTADISTICAS!$H$8</f>
        <v>1.8386933167012754E-5</v>
      </c>
      <c r="I5" s="9">
        <f>MEDIDASESTADISTICAS!$I$8</f>
        <v>3.0105262753044759E-4</v>
      </c>
      <c r="J5" s="9">
        <f>MEDIDASESTADISTICAS!J$8</f>
        <v>2.3593380103084018E-4</v>
      </c>
      <c r="K5" s="15">
        <f>MEDIDASESTADISTICAS!$K$8</f>
        <v>1.4787723336759722</v>
      </c>
      <c r="M5" s="69"/>
      <c r="N5" s="69"/>
    </row>
    <row r="6" spans="1:23" ht="17.25" thickBot="1" x14ac:dyDescent="0.3">
      <c r="A6" s="32" t="str">
        <f>MEDIDASESTADISTICAS!$A$9</f>
        <v>DESVIACIÓN ESTÁNDAR</v>
      </c>
      <c r="B6" s="26">
        <f>MEDIDASESTADISTICAS!$B$9</f>
        <v>2.3991722918264784E-2</v>
      </c>
      <c r="C6" s="18">
        <f>MEDIDASESTADISTICAS!$C$9</f>
        <v>8.6132252423148897E-2</v>
      </c>
      <c r="D6" s="18">
        <f>MEDIDASESTADISTICAS!$D$9</f>
        <v>16.467157773340062</v>
      </c>
      <c r="E6" s="18">
        <f>MEDIDASESTADISTICAS!$E$9</f>
        <v>1.806946172161206E-2</v>
      </c>
      <c r="F6" s="18">
        <f>MEDIDASESTADISTICAS!$F$9</f>
        <v>2.1048651798559165E-2</v>
      </c>
      <c r="G6" s="18">
        <f>MEDIDASESTADISTICAS!$G$9</f>
        <v>3.412630381530498E-2</v>
      </c>
      <c r="H6" s="18">
        <f>MEDIDASESTADISTICAS!$H$9</f>
        <v>4.2879987368249954E-3</v>
      </c>
      <c r="I6" s="18">
        <f>MEDIDASESTADISTICAS!$I$9</f>
        <v>1.7350868206820302E-2</v>
      </c>
      <c r="J6" s="18">
        <f>MEDIDASESTADISTICAS!$J$9</f>
        <v>1.5360136751697237E-2</v>
      </c>
      <c r="K6" s="19">
        <f>MEDIDASESTADISTICAS!$K$9</f>
        <v>1.2160478336298997</v>
      </c>
      <c r="M6" s="70"/>
      <c r="N6" s="69"/>
    </row>
    <row r="7" spans="1:23" ht="17.25" thickBot="1" x14ac:dyDescent="0.3">
      <c r="M7" s="70"/>
      <c r="N7" s="69"/>
    </row>
    <row r="8" spans="1:23" ht="18.75" thickBot="1" x14ac:dyDescent="0.3">
      <c r="B8" s="7" t="str">
        <f>MEDIDASESTADISTICAS!$B$6</f>
        <v>BIMBO</v>
      </c>
      <c r="C8" s="1" t="str">
        <f>MEDIDASESTADISTICAS!$C$6</f>
        <v>SONY</v>
      </c>
      <c r="D8" s="2" t="str">
        <f>MEDIDASESTADISTICAS!$D$6</f>
        <v>COCA COLA</v>
      </c>
      <c r="E8" s="1" t="str">
        <f>MEDIDASESTADISTICAS!$E$6</f>
        <v>STARBUCKS</v>
      </c>
      <c r="F8" s="2" t="str">
        <f>MEDIDASESTADISTICAS!$F$6</f>
        <v>WALMART</v>
      </c>
      <c r="G8" s="1" t="str">
        <f>MEDIDASESTADISTICAS!$G$6</f>
        <v>SPOTIFY</v>
      </c>
      <c r="H8" s="2" t="str">
        <f>MEDIDASESTADISTICAS!$H$6</f>
        <v>COPPEL</v>
      </c>
      <c r="I8" s="1" t="str">
        <f>MEDIDASESTADISTICAS!$I$6</f>
        <v>KRISPY KREME</v>
      </c>
      <c r="J8" s="2" t="str">
        <f>MEDIDASESTADISTICAS!$J$6</f>
        <v>COLGATE</v>
      </c>
      <c r="K8" s="8" t="str">
        <f>MEDIDASESTADISTICAS!$K$6</f>
        <v>GAMESA</v>
      </c>
      <c r="L8" s="41" t="s">
        <v>35</v>
      </c>
      <c r="M8" s="70"/>
      <c r="N8" s="69"/>
    </row>
    <row r="9" spans="1:23" ht="18.75" thickBot="1" x14ac:dyDescent="0.3">
      <c r="A9" s="39" t="s">
        <v>34</v>
      </c>
      <c r="B9" s="42">
        <f>1/10</f>
        <v>0.1</v>
      </c>
      <c r="C9" s="42">
        <f t="shared" ref="C9:K9" si="0">1/10</f>
        <v>0.1</v>
      </c>
      <c r="D9" s="42">
        <f t="shared" si="0"/>
        <v>0.1</v>
      </c>
      <c r="E9" s="42">
        <f t="shared" si="0"/>
        <v>0.1</v>
      </c>
      <c r="F9" s="42">
        <f t="shared" si="0"/>
        <v>0.1</v>
      </c>
      <c r="G9" s="42">
        <f t="shared" si="0"/>
        <v>0.1</v>
      </c>
      <c r="H9" s="42">
        <f t="shared" si="0"/>
        <v>0.1</v>
      </c>
      <c r="I9" s="42">
        <f t="shared" si="0"/>
        <v>0.1</v>
      </c>
      <c r="J9" s="42">
        <f t="shared" si="0"/>
        <v>0.1</v>
      </c>
      <c r="K9" s="42">
        <f t="shared" si="0"/>
        <v>0.1</v>
      </c>
      <c r="L9" s="40">
        <f>SUM(B9:K9)</f>
        <v>0.99999999999999989</v>
      </c>
      <c r="M9" s="70"/>
      <c r="N9" s="69"/>
    </row>
    <row r="10" spans="1:23" ht="17.25" thickBot="1" x14ac:dyDescent="0.3">
      <c r="M10" s="69"/>
      <c r="N10" s="69"/>
    </row>
    <row r="11" spans="1:23" ht="18.75" thickBot="1" x14ac:dyDescent="0.3">
      <c r="A11" s="163" t="s">
        <v>36</v>
      </c>
      <c r="B11" s="164"/>
      <c r="C11" s="164"/>
      <c r="D11" s="164"/>
      <c r="E11" s="164"/>
      <c r="F11" s="164"/>
      <c r="G11" s="164"/>
      <c r="H11" s="164"/>
      <c r="I11" s="164"/>
      <c r="J11" s="164"/>
      <c r="K11" s="165"/>
      <c r="L11" s="166" t="s">
        <v>40</v>
      </c>
      <c r="M11" s="167"/>
      <c r="N11" s="44">
        <f>MENU!D3</f>
        <v>10000000000</v>
      </c>
    </row>
    <row r="12" spans="1:23" ht="18.75" thickBot="1" x14ac:dyDescent="0.3">
      <c r="B12" s="7" t="str">
        <f>MEDIDASESTADISTICAS!$B$6</f>
        <v>BIMBO</v>
      </c>
      <c r="C12" s="1" t="str">
        <f>MEDIDASESTADISTICAS!$C$6</f>
        <v>SONY</v>
      </c>
      <c r="D12" s="2" t="str">
        <f>MEDIDASESTADISTICAS!$D$6</f>
        <v>COCA COLA</v>
      </c>
      <c r="E12" s="1" t="str">
        <f>MEDIDASESTADISTICAS!$E$6</f>
        <v>STARBUCKS</v>
      </c>
      <c r="F12" s="2" t="str">
        <f>MEDIDASESTADISTICAS!$F$6</f>
        <v>WALMART</v>
      </c>
      <c r="G12" s="1" t="str">
        <f>MEDIDASESTADISTICAS!$G$6</f>
        <v>SPOTIFY</v>
      </c>
      <c r="H12" s="2" t="str">
        <f>MEDIDASESTADISTICAS!$H$6</f>
        <v>COPPEL</v>
      </c>
      <c r="I12" s="1" t="str">
        <f>MEDIDASESTADISTICAS!$I$6</f>
        <v>KRISPY KREME</v>
      </c>
      <c r="J12" s="2" t="str">
        <f>MEDIDASESTADISTICAS!$J$6</f>
        <v>COLGATE</v>
      </c>
      <c r="K12" s="8" t="str">
        <f>MEDIDASESTADISTICAS!$K$6</f>
        <v>GAMESA</v>
      </c>
      <c r="L12" s="45" t="s">
        <v>37</v>
      </c>
      <c r="M12" s="46" t="s">
        <v>39</v>
      </c>
      <c r="N12" s="47" t="s">
        <v>38</v>
      </c>
    </row>
    <row r="13" spans="1:23" x14ac:dyDescent="0.25">
      <c r="A13" s="20" t="str">
        <f>MEDIDASESTADISTICAS!$B$6</f>
        <v>BIMBO</v>
      </c>
      <c r="B13" s="25">
        <f>B$9*$M13*MATRICES!B4</f>
        <v>5.7560276858679292E-6</v>
      </c>
      <c r="C13" s="9">
        <f>C$9*$M13*MATRICES!C4</f>
        <v>-7.9077362750535167E-7</v>
      </c>
      <c r="D13" s="9">
        <f>D$9*$M13*MATRICES!D4</f>
        <v>2.1274706185085552E-4</v>
      </c>
      <c r="E13" s="9">
        <f>E$9*$M13*MATRICES!E4</f>
        <v>-3.4630177082743399E-8</v>
      </c>
      <c r="F13" s="9">
        <f>F$9*$M13*MATRICES!F4</f>
        <v>1.4249738880573275E-7</v>
      </c>
      <c r="G13" s="9">
        <f>G$9*$M13*MATRICES!G4</f>
        <v>4.2079803182894293E-7</v>
      </c>
      <c r="H13" s="9">
        <f>H$9*$M13*MATRICES!H4</f>
        <v>-4.6480307614072217E-8</v>
      </c>
      <c r="I13" s="9">
        <f>I$9*$M13*MATRICES!I4</f>
        <v>-4.658986598608743E-8</v>
      </c>
      <c r="J13" s="9">
        <f>J$9*$M13*MATRICES!J4</f>
        <v>1.8377781611909128E-8</v>
      </c>
      <c r="K13" s="15">
        <f>K$9*$M13*MATRICES!K4</f>
        <v>-1.1832508315829024E-7</v>
      </c>
      <c r="L13" s="24" t="str">
        <f>MEDIDASESTADISTICAS!$B$6</f>
        <v>BIMBO</v>
      </c>
      <c r="M13" s="53">
        <f>$B$9</f>
        <v>0.1</v>
      </c>
      <c r="N13" s="54">
        <f>M13*$N$11</f>
        <v>1000000000</v>
      </c>
    </row>
    <row r="14" spans="1:23" x14ac:dyDescent="0.25">
      <c r="A14" s="21" t="str">
        <f>MEDIDASESTADISTICAS!$C$6</f>
        <v>SONY</v>
      </c>
      <c r="B14" s="25">
        <f>B$9*$M14*MATRICES!B5</f>
        <v>-7.9077362750535167E-7</v>
      </c>
      <c r="C14" s="9">
        <f>C$9*$M14*MATRICES!C5</f>
        <v>7.4187649074850399E-5</v>
      </c>
      <c r="D14" s="9">
        <f>D$9*$M14*MATRICES!D5</f>
        <v>-9.7257486348581885E-5</v>
      </c>
      <c r="E14" s="9">
        <f>E$9*$M14*MATRICES!E5</f>
        <v>6.4431857348555587E-7</v>
      </c>
      <c r="F14" s="9">
        <f>F$9*$M14*MATRICES!F5</f>
        <v>6.2029779329144398E-7</v>
      </c>
      <c r="G14" s="9">
        <f>G$9*$M14*MATRICES!G5</f>
        <v>-6.8004644760774167E-8</v>
      </c>
      <c r="H14" s="9">
        <f>H$9*$M14*MATRICES!H5</f>
        <v>-1.5549855833656062E-7</v>
      </c>
      <c r="I14" s="9">
        <f>I$9*$M14*MATRICES!I5</f>
        <v>4.7551678447646201E-7</v>
      </c>
      <c r="J14" s="9">
        <f>J$9*$M14*MATRICES!J5</f>
        <v>-1.6435230302240026E-7</v>
      </c>
      <c r="K14" s="15">
        <f>K$9*$M14*MATRICES!K5</f>
        <v>-3.9495958227186869E-5</v>
      </c>
      <c r="L14" s="16" t="str">
        <f>MEDIDASESTADISTICAS!$C$6</f>
        <v>SONY</v>
      </c>
      <c r="M14" s="52">
        <f>$C$9</f>
        <v>0.1</v>
      </c>
      <c r="N14" s="55">
        <f t="shared" ref="N14:N22" si="1">M14*$N$11</f>
        <v>1000000000</v>
      </c>
    </row>
    <row r="15" spans="1:23" x14ac:dyDescent="0.25">
      <c r="A15" s="22" t="str">
        <f>MEDIDASESTADISTICAS!$D$6</f>
        <v>COCA COLA</v>
      </c>
      <c r="B15" s="25">
        <f>B$9*$M15*MATRICES!B6</f>
        <v>2.1274706185085552E-4</v>
      </c>
      <c r="C15" s="9">
        <f>C$9*$M15*MATRICES!C6</f>
        <v>-9.7257486348581885E-5</v>
      </c>
      <c r="D15" s="9">
        <f>D$9*$M15*MATRICES!D6</f>
        <v>2.7116728513207424</v>
      </c>
      <c r="E15" s="9">
        <f>E$9*$M15*MATRICES!E6</f>
        <v>2.4991253731920235E-5</v>
      </c>
      <c r="F15" s="9">
        <f>F$9*$M15*MATRICES!F6</f>
        <v>1.0968342741324262E-4</v>
      </c>
      <c r="G15" s="9">
        <f>G$9*$M15*MATRICES!G6</f>
        <v>-6.9781571752498633E-4</v>
      </c>
      <c r="H15" s="9">
        <f>H$9*$M15*MATRICES!H6</f>
        <v>-4.4803587895689193E-5</v>
      </c>
      <c r="I15" s="9">
        <f>I$9*$M15*MATRICES!I6</f>
        <v>-9.6462181799818972E-5</v>
      </c>
      <c r="J15" s="9">
        <f>J$9*$M15*MATRICES!J6</f>
        <v>2.4919693523797624E-6</v>
      </c>
      <c r="K15" s="15">
        <f>K$9*$M15*MATRICES!K6</f>
        <v>-1.3828382305081453E-3</v>
      </c>
      <c r="L15" s="14" t="str">
        <f>MEDIDASESTADISTICAS!$D$6</f>
        <v>COCA COLA</v>
      </c>
      <c r="M15" s="50">
        <f>$D$9</f>
        <v>0.1</v>
      </c>
      <c r="N15" s="51">
        <f t="shared" si="1"/>
        <v>1000000000</v>
      </c>
    </row>
    <row r="16" spans="1:23" x14ac:dyDescent="0.25">
      <c r="A16" s="21" t="str">
        <f>MEDIDASESTADISTICAS!$E$6</f>
        <v>STARBUCKS</v>
      </c>
      <c r="B16" s="25">
        <f>B$9*$M16*MATRICES!B7</f>
        <v>-3.4630177082743399E-8</v>
      </c>
      <c r="C16" s="9">
        <f>C$9*$M16*MATRICES!C7</f>
        <v>6.4431857348555587E-7</v>
      </c>
      <c r="D16" s="9">
        <f>D$9*$M16*MATRICES!D7</f>
        <v>2.4991253731920235E-5</v>
      </c>
      <c r="E16" s="9">
        <f>E$9*$M16*MATRICES!E7</f>
        <v>3.2650544690880294E-6</v>
      </c>
      <c r="F16" s="9">
        <f>F$9*$M16*MATRICES!F7</f>
        <v>2.4311907492043227E-7</v>
      </c>
      <c r="G16" s="9">
        <f>G$9*$M16*MATRICES!G7</f>
        <v>-2.5283322756796326E-8</v>
      </c>
      <c r="H16" s="9">
        <f>H$9*$M16*MATRICES!H7</f>
        <v>1.2459940484949591E-8</v>
      </c>
      <c r="I16" s="9">
        <f>I$9*$M16*MATRICES!I7</f>
        <v>1.7420944740744961E-7</v>
      </c>
      <c r="J16" s="9">
        <f>J$9*$M16*MATRICES!J7</f>
        <v>2.4437318348293359E-9</v>
      </c>
      <c r="K16" s="15">
        <f>K$9*$M16*MATRICES!K7</f>
        <v>-1.4674917794541762E-5</v>
      </c>
      <c r="L16" s="16" t="str">
        <f>MEDIDASESTADISTICAS!$E$6</f>
        <v>STARBUCKS</v>
      </c>
      <c r="M16" s="52">
        <f>$E$9</f>
        <v>0.1</v>
      </c>
      <c r="N16" s="55">
        <f t="shared" si="1"/>
        <v>1000000000</v>
      </c>
    </row>
    <row r="17" spans="1:14" x14ac:dyDescent="0.25">
      <c r="A17" s="22" t="str">
        <f>MEDIDASESTADISTICAS!$F$6</f>
        <v>WALMART</v>
      </c>
      <c r="B17" s="25">
        <f>B$9*$M17*MATRICES!B8</f>
        <v>1.4249738880573275E-7</v>
      </c>
      <c r="C17" s="9">
        <f>C$9*$M17*MATRICES!C8</f>
        <v>6.2029779329144398E-7</v>
      </c>
      <c r="D17" s="9">
        <f>D$9*$M17*MATRICES!D8</f>
        <v>1.0968342741324262E-4</v>
      </c>
      <c r="E17" s="9">
        <f>E$9*$M17*MATRICES!E8</f>
        <v>2.4311907492043227E-7</v>
      </c>
      <c r="F17" s="9">
        <f>F$9*$M17*MATRICES!F8</f>
        <v>4.4304574253698766E-6</v>
      </c>
      <c r="G17" s="9">
        <f>G$9*$M17*MATRICES!G8</f>
        <v>4.3496591384930789E-8</v>
      </c>
      <c r="H17" s="9">
        <f>H$9*$M17*MATRICES!H8</f>
        <v>-2.2512707763222115E-8</v>
      </c>
      <c r="I17" s="9">
        <f>I$9*$M17*MATRICES!I8</f>
        <v>3.5381920664035289E-7</v>
      </c>
      <c r="J17" s="9">
        <f>J$9*$M17*MATRICES!J8</f>
        <v>1.8247274860448613E-7</v>
      </c>
      <c r="K17" s="15">
        <f>K$9*$M17*MATRICES!K8</f>
        <v>-1.8877345478894793E-6</v>
      </c>
      <c r="L17" s="14" t="str">
        <f>MEDIDASESTADISTICAS!$F$6</f>
        <v>WALMART</v>
      </c>
      <c r="M17" s="50">
        <f>$F$9</f>
        <v>0.1</v>
      </c>
      <c r="N17" s="51">
        <f t="shared" si="1"/>
        <v>1000000000</v>
      </c>
    </row>
    <row r="18" spans="1:14" x14ac:dyDescent="0.25">
      <c r="A18" s="21" t="str">
        <f>MEDIDASESTADISTICAS!$G$6</f>
        <v>SPOTIFY</v>
      </c>
      <c r="B18" s="25">
        <f>B$9*$M18*MATRICES!B9</f>
        <v>4.2079803182894293E-7</v>
      </c>
      <c r="C18" s="9">
        <f>C$9*$M18*MATRICES!C9</f>
        <v>-6.8004644760774167E-8</v>
      </c>
      <c r="D18" s="9">
        <f>D$9*$M18*MATRICES!D9</f>
        <v>-6.9781571752498633E-4</v>
      </c>
      <c r="E18" s="9">
        <f>E$9*$M18*MATRICES!E9</f>
        <v>-2.5283322756796326E-8</v>
      </c>
      <c r="F18" s="9">
        <f>F$9*$M18*MATRICES!F9</f>
        <v>4.3496591384930789E-8</v>
      </c>
      <c r="G18" s="9">
        <f>G$9*$M18*MATRICES!G9</f>
        <v>1.1646046120944984E-5</v>
      </c>
      <c r="H18" s="9">
        <f>H$9*$M18*MATRICES!H9</f>
        <v>5.4584725425057482E-8</v>
      </c>
      <c r="I18" s="9">
        <f>I$9*$M18*MATRICES!I9</f>
        <v>-2.1305061662906302E-7</v>
      </c>
      <c r="J18" s="9">
        <f>J$9*$M18*MATRICES!J9</f>
        <v>3.1669647492424121E-7</v>
      </c>
      <c r="K18" s="15">
        <f>K$9*$M18*MATRICES!K9</f>
        <v>1.341394475526252E-5</v>
      </c>
      <c r="L18" s="16" t="str">
        <f>MEDIDASESTADISTICAS!$G$6</f>
        <v>SPOTIFY</v>
      </c>
      <c r="M18" s="52">
        <f>$G$9</f>
        <v>0.1</v>
      </c>
      <c r="N18" s="55">
        <f t="shared" si="1"/>
        <v>1000000000</v>
      </c>
    </row>
    <row r="19" spans="1:14" x14ac:dyDescent="0.25">
      <c r="A19" s="22" t="str">
        <f>MEDIDASESTADISTICAS!$H$6</f>
        <v>COPPEL</v>
      </c>
      <c r="B19" s="25">
        <f>B$9*$M19*MATRICES!B10</f>
        <v>-4.6480307614072217E-8</v>
      </c>
      <c r="C19" s="9">
        <f>C$9*$M19*MATRICES!C10</f>
        <v>-1.5549855833656062E-7</v>
      </c>
      <c r="D19" s="9">
        <f>D$9*$M19*MATRICES!D10</f>
        <v>-4.4803587895689193E-5</v>
      </c>
      <c r="E19" s="9">
        <f>E$9*$M19*MATRICES!E10</f>
        <v>1.2459940484949591E-8</v>
      </c>
      <c r="F19" s="9">
        <f>F$9*$M19*MATRICES!F10</f>
        <v>-2.2512707763222115E-8</v>
      </c>
      <c r="G19" s="9">
        <f>G$9*$M19*MATRICES!G10</f>
        <v>5.4584725425057482E-8</v>
      </c>
      <c r="H19" s="9">
        <f>H$9*$M19*MATRICES!H10</f>
        <v>1.8386933167012755E-7</v>
      </c>
      <c r="I19" s="9">
        <f>I$9*$M19*MATRICES!I10</f>
        <v>1.6939429629986593E-8</v>
      </c>
      <c r="J19" s="9">
        <f>J$9*$M19*MATRICES!J10</f>
        <v>-7.6432080326297544E-8</v>
      </c>
      <c r="K19" s="15">
        <f>K$9*$M19*MATRICES!K10</f>
        <v>-1.1698353101358598E-6</v>
      </c>
      <c r="L19" s="14" t="str">
        <f>MEDIDASESTADISTICAS!$H$6</f>
        <v>COPPEL</v>
      </c>
      <c r="M19" s="50">
        <f>$H$9</f>
        <v>0.1</v>
      </c>
      <c r="N19" s="51">
        <f t="shared" si="1"/>
        <v>1000000000</v>
      </c>
    </row>
    <row r="20" spans="1:14" x14ac:dyDescent="0.25">
      <c r="A20" s="21" t="str">
        <f>MEDIDASESTADISTICAS!$I$6</f>
        <v>KRISPY KREME</v>
      </c>
      <c r="B20" s="25">
        <f>B$9*$M20*MATRICES!B11</f>
        <v>-4.658986598608743E-8</v>
      </c>
      <c r="C20" s="9">
        <f>C$9*$M20*MATRICES!C11</f>
        <v>4.7551678447646201E-7</v>
      </c>
      <c r="D20" s="9">
        <f>D$9*$M20*MATRICES!D11</f>
        <v>-9.6462181799818972E-5</v>
      </c>
      <c r="E20" s="9">
        <f>E$9*$M20*MATRICES!E11</f>
        <v>1.7420944740744961E-7</v>
      </c>
      <c r="F20" s="9">
        <f>F$9*$M20*MATRICES!F11</f>
        <v>3.5381920664035289E-7</v>
      </c>
      <c r="G20" s="9">
        <f>G$9*$M20*MATRICES!G11</f>
        <v>-2.1305061662906302E-7</v>
      </c>
      <c r="H20" s="9">
        <f>H$9*$M20*MATRICES!H11</f>
        <v>1.6939429629986593E-8</v>
      </c>
      <c r="I20" s="9">
        <f>I$9*$M20*MATRICES!I11</f>
        <v>3.0105262753044748E-6</v>
      </c>
      <c r="J20" s="9">
        <f>J$9*$M20*MATRICES!J11</f>
        <v>-7.3264654997644104E-8</v>
      </c>
      <c r="K20" s="15">
        <f>K$9*$M20*MATRICES!K11</f>
        <v>-1.1017738883403619E-5</v>
      </c>
      <c r="L20" s="16" t="str">
        <f>MEDIDASESTADISTICAS!$I$6</f>
        <v>KRISPY KREME</v>
      </c>
      <c r="M20" s="52">
        <f>$I$9</f>
        <v>0.1</v>
      </c>
      <c r="N20" s="55">
        <f t="shared" si="1"/>
        <v>1000000000</v>
      </c>
    </row>
    <row r="21" spans="1:14" x14ac:dyDescent="0.25">
      <c r="A21" s="22" t="str">
        <f>MEDIDASESTADISTICAS!$J$6</f>
        <v>COLGATE</v>
      </c>
      <c r="B21" s="25">
        <f>B$9*$M21*MATRICES!B12</f>
        <v>1.8377781611909128E-8</v>
      </c>
      <c r="C21" s="9">
        <f>C$9*$M21*MATRICES!C12</f>
        <v>-1.6435230302240026E-7</v>
      </c>
      <c r="D21" s="9">
        <f>D$9*$M21*MATRICES!D12</f>
        <v>2.4919693523797624E-6</v>
      </c>
      <c r="E21" s="9">
        <f>E$9*$M21*MATRICES!E12</f>
        <v>2.4437318348293359E-9</v>
      </c>
      <c r="F21" s="9">
        <f>F$9*$M21*MATRICES!F12</f>
        <v>1.8247274860448613E-7</v>
      </c>
      <c r="G21" s="9">
        <f>G$9*$M21*MATRICES!G12</f>
        <v>3.1669647492424121E-7</v>
      </c>
      <c r="H21" s="9">
        <f>H$9*$M21*MATRICES!H12</f>
        <v>-7.6432080326297544E-8</v>
      </c>
      <c r="I21" s="9">
        <f>I$9*$M21*MATRICES!I12</f>
        <v>-7.3264654997644104E-8</v>
      </c>
      <c r="J21" s="9">
        <f>J$9*$M21*MATRICES!J12</f>
        <v>2.3593380103084035E-6</v>
      </c>
      <c r="K21" s="15">
        <f>K$9*$M21*MATRICES!K12</f>
        <v>-7.8236346009264898E-6</v>
      </c>
      <c r="L21" s="14" t="str">
        <f>MEDIDASESTADISTICAS!$J$6</f>
        <v>COLGATE</v>
      </c>
      <c r="M21" s="50">
        <f>$J$9</f>
        <v>0.1</v>
      </c>
      <c r="N21" s="51">
        <f t="shared" si="1"/>
        <v>1000000000</v>
      </c>
    </row>
    <row r="22" spans="1:14" ht="17.25" thickBot="1" x14ac:dyDescent="0.3">
      <c r="A22" s="23" t="str">
        <f>MEDIDASESTADISTICAS!$K$6</f>
        <v>GAMESA</v>
      </c>
      <c r="B22" s="26">
        <f>B$9*$M22*MATRICES!B13</f>
        <v>-1.1832508315829024E-7</v>
      </c>
      <c r="C22" s="18">
        <f>C$9*$M22*MATRICES!C13</f>
        <v>-3.9495958227186869E-5</v>
      </c>
      <c r="D22" s="18">
        <f>D$9*$M22*MATRICES!D13</f>
        <v>-1.3828382305081453E-3</v>
      </c>
      <c r="E22" s="18">
        <f>E$9*$M22*MATRICES!E13</f>
        <v>-1.4674917794541762E-5</v>
      </c>
      <c r="F22" s="18">
        <f>F$9*$M22*MATRICES!F13</f>
        <v>-1.8877345478894793E-6</v>
      </c>
      <c r="G22" s="18">
        <f>G$9*$M22*MATRICES!G13</f>
        <v>1.341394475526252E-5</v>
      </c>
      <c r="H22" s="18">
        <f>H$9*$M22*MATRICES!H13</f>
        <v>-1.1698353101358598E-6</v>
      </c>
      <c r="I22" s="18">
        <f>I$9*$M22*MATRICES!I13</f>
        <v>-1.1017738883403619E-5</v>
      </c>
      <c r="J22" s="18">
        <f>J$9*$M22*MATRICES!J13</f>
        <v>-7.8236346009264898E-6</v>
      </c>
      <c r="K22" s="19">
        <f>K$9*$M22*MATRICES!K13</f>
        <v>1.4787723336759758E-2</v>
      </c>
      <c r="L22" s="17" t="str">
        <f>MEDIDASESTADISTICAS!$K$6</f>
        <v>GAMESA</v>
      </c>
      <c r="M22" s="56">
        <f>$K$9</f>
        <v>0.1</v>
      </c>
      <c r="N22" s="57">
        <f t="shared" si="1"/>
        <v>1000000000</v>
      </c>
    </row>
    <row r="23" spans="1:14" ht="18" x14ac:dyDescent="0.25">
      <c r="L23" s="48" t="s">
        <v>35</v>
      </c>
      <c r="M23" s="49">
        <f>SUM(M13:M22)</f>
        <v>0.99999999999999989</v>
      </c>
      <c r="N23" s="43">
        <f>SUM(N13:N22)</f>
        <v>10000000000</v>
      </c>
    </row>
    <row r="24" spans="1:14" ht="17.25" thickBot="1" x14ac:dyDescent="0.3"/>
    <row r="25" spans="1:14" ht="19.5" x14ac:dyDescent="0.25">
      <c r="A25" s="58" t="s">
        <v>41</v>
      </c>
      <c r="B25" s="116">
        <f>SUMPRODUCT(B4:K4,B9:K9)</f>
        <v>8.8439704588478774E-2</v>
      </c>
      <c r="C25" s="59" t="s">
        <v>42</v>
      </c>
      <c r="D25" s="168" t="s">
        <v>43</v>
      </c>
      <c r="E25" s="169"/>
    </row>
    <row r="26" spans="1:14" ht="19.5" x14ac:dyDescent="0.25">
      <c r="A26" s="60" t="s">
        <v>44</v>
      </c>
      <c r="B26" s="115">
        <f>SUM(B13:K22)</f>
        <v>2.722505348592771</v>
      </c>
      <c r="C26" s="61"/>
      <c r="D26" s="61"/>
      <c r="E26" s="62"/>
    </row>
    <row r="27" spans="1:14" ht="19.5" x14ac:dyDescent="0.25">
      <c r="A27" s="60" t="s">
        <v>45</v>
      </c>
      <c r="B27" s="63">
        <f>SQRT(B26)</f>
        <v>1.6500016207848922</v>
      </c>
      <c r="C27" s="61" t="s">
        <v>46</v>
      </c>
      <c r="D27" s="61"/>
      <c r="E27" s="62"/>
    </row>
    <row r="28" spans="1:14" ht="20.25" thickBot="1" x14ac:dyDescent="0.3">
      <c r="A28" s="64" t="s">
        <v>47</v>
      </c>
      <c r="B28" s="65">
        <f>+B25/B27</f>
        <v>5.3599768311990342E-2</v>
      </c>
      <c r="C28" s="66" t="s">
        <v>48</v>
      </c>
      <c r="D28" s="66"/>
      <c r="E28" s="67"/>
    </row>
  </sheetData>
  <sheetProtection algorithmName="SHA-512" hashValue="L3AWYi4a7y1wJ50QpLwmtrmm6KS29FPDG/Tz58ZFED+UYVkvhA2EqAreMcwkKzNsvAFB3Ga/Hpl6Y5uWYKSflA==" saltValue="nSk+QZlFgA/mxhBYxvBm+w==" spinCount="100000" sheet="1" formatCells="0" formatColumns="0" formatRows="0" insertColumns="0" insertRows="0" insertHyperlinks="0" deleteColumns="0" deleteRows="0"/>
  <mergeCells count="5">
    <mergeCell ref="A2:K2"/>
    <mergeCell ref="A11:K11"/>
    <mergeCell ref="L11:M11"/>
    <mergeCell ref="D25:E25"/>
    <mergeCell ref="A1:N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54492-2F58-4F23-B023-0F293818C5E9}">
  <sheetPr codeName="Hoja7"/>
  <dimension ref="A1:N29"/>
  <sheetViews>
    <sheetView topLeftCell="D1" workbookViewId="0">
      <selection activeCell="L10" sqref="L10"/>
    </sheetView>
  </sheetViews>
  <sheetFormatPr baseColWidth="10" defaultRowHeight="16.5" x14ac:dyDescent="0.25"/>
  <cols>
    <col min="1" max="1" width="38.42578125" style="3" bestFit="1" customWidth="1"/>
    <col min="2" max="13" width="19.85546875" style="3" customWidth="1"/>
    <col min="14" max="14" width="30.7109375" style="3" customWidth="1"/>
  </cols>
  <sheetData>
    <row r="1" spans="1:14" ht="29.25" x14ac:dyDescent="0.25">
      <c r="A1" s="172" t="s">
        <v>50</v>
      </c>
      <c r="B1" s="172"/>
      <c r="C1" s="172"/>
      <c r="D1" s="172"/>
      <c r="E1" s="172"/>
      <c r="F1" s="172"/>
      <c r="G1" s="172"/>
      <c r="H1" s="172"/>
      <c r="I1" s="172"/>
      <c r="J1" s="172"/>
      <c r="K1" s="172"/>
      <c r="L1" s="172"/>
      <c r="M1" s="172"/>
      <c r="N1" s="172"/>
    </row>
    <row r="2" spans="1:14" ht="24" x14ac:dyDescent="0.25">
      <c r="A2" s="158" t="s">
        <v>31</v>
      </c>
      <c r="B2" s="158"/>
      <c r="C2" s="158"/>
      <c r="D2" s="158"/>
      <c r="E2" s="158"/>
      <c r="F2" s="158"/>
      <c r="G2" s="158"/>
      <c r="H2" s="158"/>
      <c r="I2" s="158"/>
      <c r="J2" s="158"/>
      <c r="K2" s="158"/>
      <c r="L2" s="158"/>
      <c r="M2" s="158"/>
      <c r="N2" s="158"/>
    </row>
    <row r="3" spans="1:14" ht="18.75" thickBot="1" x14ac:dyDescent="0.3">
      <c r="A3" s="162" t="s">
        <v>29</v>
      </c>
      <c r="B3" s="162"/>
      <c r="C3" s="162"/>
      <c r="D3" s="162"/>
      <c r="E3" s="162"/>
      <c r="F3" s="162"/>
      <c r="G3" s="162"/>
      <c r="H3" s="162"/>
      <c r="I3" s="162"/>
      <c r="J3" s="162"/>
      <c r="K3" s="162"/>
      <c r="L3" s="171" t="s">
        <v>51</v>
      </c>
      <c r="M3" s="171"/>
      <c r="N3" s="171"/>
    </row>
    <row r="4" spans="1:14" ht="17.25" thickBot="1" x14ac:dyDescent="0.3">
      <c r="B4" s="7" t="str">
        <f>MEDIDASESTADISTICAS!$B$6</f>
        <v>BIMBO</v>
      </c>
      <c r="C4" s="1" t="str">
        <f>MEDIDASESTADISTICAS!$C$6</f>
        <v>SONY</v>
      </c>
      <c r="D4" s="2" t="str">
        <f>MEDIDASESTADISTICAS!$D$6</f>
        <v>COCA COLA</v>
      </c>
      <c r="E4" s="1" t="str">
        <f>MEDIDASESTADISTICAS!$E$6</f>
        <v>STARBUCKS</v>
      </c>
      <c r="F4" s="2" t="str">
        <f>MEDIDASESTADISTICAS!$F$6</f>
        <v>WALMART</v>
      </c>
      <c r="G4" s="1" t="str">
        <f>MEDIDASESTADISTICAS!$G$6</f>
        <v>SPOTIFY</v>
      </c>
      <c r="H4" s="2" t="str">
        <f>MEDIDASESTADISTICAS!$H$6</f>
        <v>COPPEL</v>
      </c>
      <c r="I4" s="1" t="str">
        <f>MEDIDASESTADISTICAS!$I$6</f>
        <v>KRISPY KREME</v>
      </c>
      <c r="J4" s="2" t="str">
        <f>MEDIDASESTADISTICAS!$J$6</f>
        <v>COLGATE</v>
      </c>
      <c r="K4" s="8" t="str">
        <f>MEDIDASESTADISTICAS!$K$6</f>
        <v>GAMESA</v>
      </c>
    </row>
    <row r="5" spans="1:14" x14ac:dyDescent="0.25">
      <c r="A5" s="20" t="str">
        <f>MEDIDASESTADISTICAS!$A$7</f>
        <v>PROMEDIO</v>
      </c>
      <c r="B5" s="38">
        <f>MEDIDASESTADISTICAS!$B$7</f>
        <v>1.7358318211662595E-3</v>
      </c>
      <c r="C5" s="28">
        <f>MEDIDASESTADISTICAS!$C$7</f>
        <v>3.7602965607205839E-3</v>
      </c>
      <c r="D5" s="28">
        <f>MEDIDASESTADISTICAS!$D$7</f>
        <v>0.73442688867837536</v>
      </c>
      <c r="E5" s="28">
        <f>MEDIDASESTADISTICAS!$E$7</f>
        <v>8.9865212012353991E-4</v>
      </c>
      <c r="F5" s="28">
        <f>MEDIDASESTADISTICAS!$F$7</f>
        <v>9.2088368914591042E-4</v>
      </c>
      <c r="G5" s="28">
        <f>MEDIDASESTADISTICAS!$G$7</f>
        <v>6.1473383802669601E-4</v>
      </c>
      <c r="H5" s="28">
        <f>MEDIDASESTADISTICAS!$H$7</f>
        <v>2.7946542690133222E-4</v>
      </c>
      <c r="I5" s="28">
        <f>MEDIDASESTADISTICAS!$I$7</f>
        <v>9.7112887670545414E-4</v>
      </c>
      <c r="J5" s="28">
        <f>MEDIDASESTADISTICAS!J$7</f>
        <v>3.3345958731661676E-4</v>
      </c>
      <c r="K5" s="29">
        <f>MEDIDASESTADISTICAS!$K$7</f>
        <v>0.14045570528630563</v>
      </c>
    </row>
    <row r="6" spans="1:14" x14ac:dyDescent="0.25">
      <c r="A6" s="21" t="str">
        <f>MEDIDASESTADISTICAS!$A$8</f>
        <v>VARIANZA</v>
      </c>
      <c r="B6" s="25">
        <f>MEDIDASESTADISTICAS!$B$8</f>
        <v>5.7560276858679169E-4</v>
      </c>
      <c r="C6" s="9">
        <f>MEDIDASESTADISTICAS!$C$8</f>
        <v>7.4187649074850398E-3</v>
      </c>
      <c r="D6" s="9">
        <f>MEDIDASESTADISTICAS!$D$8</f>
        <v>271.16728513207403</v>
      </c>
      <c r="E6" s="9">
        <f>MEDIDASESTADISTICAS!$E$8</f>
        <v>3.2650544690880347E-4</v>
      </c>
      <c r="F6" s="9">
        <f>MEDIDASESTADISTICAS!$F$8</f>
        <v>4.4304574253698794E-4</v>
      </c>
      <c r="G6" s="9">
        <f>MEDIDASESTADISTICAS!$G$8</f>
        <v>1.1646046120944993E-3</v>
      </c>
      <c r="H6" s="9">
        <f>MEDIDASESTADISTICAS!$H$8</f>
        <v>1.8386933167012754E-5</v>
      </c>
      <c r="I6" s="9">
        <f>MEDIDASESTADISTICAS!$I$8</f>
        <v>3.0105262753044759E-4</v>
      </c>
      <c r="J6" s="9">
        <f>MEDIDASESTADISTICAS!J$8</f>
        <v>2.3593380103084018E-4</v>
      </c>
      <c r="K6" s="15">
        <f>MEDIDASESTADISTICAS!$K$8</f>
        <v>1.4787723336759722</v>
      </c>
    </row>
    <row r="7" spans="1:14" ht="17.25" thickBot="1" x14ac:dyDescent="0.3">
      <c r="A7" s="32" t="str">
        <f>MEDIDASESTADISTICAS!$A$9</f>
        <v>DESVIACIÓN ESTÁNDAR</v>
      </c>
      <c r="B7" s="26">
        <f>MEDIDASESTADISTICAS!$B$9</f>
        <v>2.3991722918264784E-2</v>
      </c>
      <c r="C7" s="18">
        <f>MEDIDASESTADISTICAS!$C$9</f>
        <v>8.6132252423148897E-2</v>
      </c>
      <c r="D7" s="18">
        <f>MEDIDASESTADISTICAS!$D$9</f>
        <v>16.467157773340062</v>
      </c>
      <c r="E7" s="18">
        <f>MEDIDASESTADISTICAS!$E$9</f>
        <v>1.806946172161206E-2</v>
      </c>
      <c r="F7" s="18">
        <f>MEDIDASESTADISTICAS!$F$9</f>
        <v>2.1048651798559165E-2</v>
      </c>
      <c r="G7" s="18">
        <f>MEDIDASESTADISTICAS!$G$9</f>
        <v>3.412630381530498E-2</v>
      </c>
      <c r="H7" s="18">
        <f>MEDIDASESTADISTICAS!$H$9</f>
        <v>4.2879987368249954E-3</v>
      </c>
      <c r="I7" s="18">
        <f>MEDIDASESTADISTICAS!$I$9</f>
        <v>1.7350868206820302E-2</v>
      </c>
      <c r="J7" s="18">
        <f>MEDIDASESTADISTICAS!$J$9</f>
        <v>1.5360136751697237E-2</v>
      </c>
      <c r="K7" s="19">
        <f>MEDIDASESTADISTICAS!$K$9</f>
        <v>1.2160478336298997</v>
      </c>
      <c r="M7" s="71"/>
    </row>
    <row r="8" spans="1:14" ht="17.25" thickBot="1" x14ac:dyDescent="0.35">
      <c r="M8" s="170" t="s">
        <v>49</v>
      </c>
      <c r="N8" s="170"/>
    </row>
    <row r="9" spans="1:14" ht="18.75" thickBot="1" x14ac:dyDescent="0.3">
      <c r="B9" s="7" t="str">
        <f>MEDIDASESTADISTICAS!$B$6</f>
        <v>BIMBO</v>
      </c>
      <c r="C9" s="1" t="str">
        <f>MEDIDASESTADISTICAS!$C$6</f>
        <v>SONY</v>
      </c>
      <c r="D9" s="2" t="str">
        <f>MEDIDASESTADISTICAS!$D$6</f>
        <v>COCA COLA</v>
      </c>
      <c r="E9" s="1" t="str">
        <f>MEDIDASESTADISTICAS!$E$6</f>
        <v>STARBUCKS</v>
      </c>
      <c r="F9" s="2" t="str">
        <f>MEDIDASESTADISTICAS!$F$6</f>
        <v>WALMART</v>
      </c>
      <c r="G9" s="1" t="str">
        <f>MEDIDASESTADISTICAS!$G$6</f>
        <v>SPOTIFY</v>
      </c>
      <c r="H9" s="2" t="str">
        <f>MEDIDASESTADISTICAS!$H$6</f>
        <v>COPPEL</v>
      </c>
      <c r="I9" s="1" t="str">
        <f>MEDIDASESTADISTICAS!$I$6</f>
        <v>KRISPY KREME</v>
      </c>
      <c r="J9" s="2" t="str">
        <f>MEDIDASESTADISTICAS!$J$6</f>
        <v>COLGATE</v>
      </c>
      <c r="K9" s="8" t="str">
        <f>MEDIDASESTADISTICAS!$K$6</f>
        <v>GAMESA</v>
      </c>
      <c r="L9" s="41" t="s">
        <v>35</v>
      </c>
      <c r="M9" s="70"/>
      <c r="N9" s="69"/>
    </row>
    <row r="10" spans="1:14" ht="18.75" thickBot="1" x14ac:dyDescent="0.3">
      <c r="A10" s="39" t="s">
        <v>34</v>
      </c>
      <c r="B10" s="72">
        <v>2.9085964029620593E-2</v>
      </c>
      <c r="C10" s="72">
        <v>3.3057121047331268E-3</v>
      </c>
      <c r="D10" s="72">
        <v>1.2395473832765177E-5</v>
      </c>
      <c r="E10" s="72">
        <v>3.5015266179388542E-2</v>
      </c>
      <c r="F10" s="72">
        <v>2.4466916074344282E-2</v>
      </c>
      <c r="G10" s="72">
        <v>5.9395832767169627E-3</v>
      </c>
      <c r="H10" s="72">
        <v>0.78097571761730855</v>
      </c>
      <c r="I10" s="72">
        <v>3.9153304707263664E-2</v>
      </c>
      <c r="J10" s="72">
        <v>8.1859510302048411E-2</v>
      </c>
      <c r="K10" s="72">
        <v>1.8563330956099486E-4</v>
      </c>
      <c r="L10" s="40">
        <f>SUM(B10:K10)</f>
        <v>1.0000000030748177</v>
      </c>
      <c r="M10" s="70"/>
      <c r="N10" s="69"/>
    </row>
    <row r="11" spans="1:14" ht="17.25" thickBot="1" x14ac:dyDescent="0.3">
      <c r="M11" s="69"/>
      <c r="N11" s="69"/>
    </row>
    <row r="12" spans="1:14" ht="18.75" thickBot="1" x14ac:dyDescent="0.3">
      <c r="A12" s="163" t="s">
        <v>36</v>
      </c>
      <c r="B12" s="164"/>
      <c r="C12" s="164"/>
      <c r="D12" s="164"/>
      <c r="E12" s="164"/>
      <c r="F12" s="164"/>
      <c r="G12" s="164"/>
      <c r="H12" s="164"/>
      <c r="I12" s="164"/>
      <c r="J12" s="164"/>
      <c r="K12" s="165"/>
      <c r="L12" s="166" t="s">
        <v>40</v>
      </c>
      <c r="M12" s="167"/>
      <c r="N12" s="44">
        <f>MENU!D3</f>
        <v>10000000000</v>
      </c>
    </row>
    <row r="13" spans="1:14" ht="18.75" thickBot="1" x14ac:dyDescent="0.3">
      <c r="B13" s="7" t="str">
        <f>MEDIDASESTADISTICAS!$B$6</f>
        <v>BIMBO</v>
      </c>
      <c r="C13" s="1" t="str">
        <f>MEDIDASESTADISTICAS!$C$6</f>
        <v>SONY</v>
      </c>
      <c r="D13" s="2" t="str">
        <f>MEDIDASESTADISTICAS!$D$6</f>
        <v>COCA COLA</v>
      </c>
      <c r="E13" s="1" t="str">
        <f>MEDIDASESTADISTICAS!$E$6</f>
        <v>STARBUCKS</v>
      </c>
      <c r="F13" s="2" t="str">
        <f>MEDIDASESTADISTICAS!$F$6</f>
        <v>WALMART</v>
      </c>
      <c r="G13" s="1" t="str">
        <f>MEDIDASESTADISTICAS!$G$6</f>
        <v>SPOTIFY</v>
      </c>
      <c r="H13" s="2" t="str">
        <f>MEDIDASESTADISTICAS!$H$6</f>
        <v>COPPEL</v>
      </c>
      <c r="I13" s="1" t="str">
        <f>MEDIDASESTADISTICAS!$I$6</f>
        <v>KRISPY KREME</v>
      </c>
      <c r="J13" s="2" t="str">
        <f>MEDIDASESTADISTICAS!$J$6</f>
        <v>COLGATE</v>
      </c>
      <c r="K13" s="8" t="str">
        <f>MEDIDASESTADISTICAS!$K$6</f>
        <v>GAMESA</v>
      </c>
      <c r="L13" s="45" t="s">
        <v>37</v>
      </c>
      <c r="M13" s="46" t="s">
        <v>39</v>
      </c>
      <c r="N13" s="47" t="s">
        <v>38</v>
      </c>
    </row>
    <row r="14" spans="1:14" x14ac:dyDescent="0.25">
      <c r="A14" s="20" t="str">
        <f>MEDIDASESTADISTICAS!$B$6</f>
        <v>BIMBO</v>
      </c>
      <c r="B14" s="25">
        <f>B$10*$M14*MATRICES!B4</f>
        <v>4.8695608771912664E-7</v>
      </c>
      <c r="C14" s="9">
        <f>C$10*$M14*MATRICES!C4</f>
        <v>-7.6032744610727945E-9</v>
      </c>
      <c r="D14" s="9">
        <f>D$10*$M14*MATRICES!D4</f>
        <v>7.670261430430078E-9</v>
      </c>
      <c r="E14" s="9">
        <f>E$10*$M14*MATRICES!E4</f>
        <v>-3.5269199864900909E-9</v>
      </c>
      <c r="F14" s="9">
        <f>F$10*$M14*MATRICES!F4</f>
        <v>1.0140738908139504E-8</v>
      </c>
      <c r="G14" s="9">
        <f>G$10*$M14*MATRICES!G4</f>
        <v>7.2696439111900296E-9</v>
      </c>
      <c r="H14" s="9">
        <f>H$10*$M14*MATRICES!H4</f>
        <v>-1.055820249777837E-7</v>
      </c>
      <c r="I14" s="9">
        <f>I$10*$M14*MATRICES!I4</f>
        <v>-5.3057080403077619E-9</v>
      </c>
      <c r="J14" s="9">
        <f>J$10*$M14*MATRICES!J4</f>
        <v>4.3756813852249288E-9</v>
      </c>
      <c r="K14" s="15">
        <f>K$10*$M14*MATRICES!K4</f>
        <v>-6.38875433443706E-11</v>
      </c>
      <c r="L14" s="24" t="str">
        <f>MEDIDASESTADISTICAS!$B$6</f>
        <v>BIMBO</v>
      </c>
      <c r="M14" s="74">
        <f>$B$10</f>
        <v>2.9085964029620593E-2</v>
      </c>
      <c r="N14" s="54">
        <f>M14*$N$12</f>
        <v>290859640.29620594</v>
      </c>
    </row>
    <row r="15" spans="1:14" x14ac:dyDescent="0.25">
      <c r="A15" s="21" t="str">
        <f>MEDIDASESTADISTICAS!$C$6</f>
        <v>SONY</v>
      </c>
      <c r="B15" s="25">
        <f>B$10*$M15*MATRICES!B5</f>
        <v>-7.6032744610727945E-9</v>
      </c>
      <c r="C15" s="9">
        <f>C$10*$M15*MATRICES!C5</f>
        <v>8.1070278533152885E-8</v>
      </c>
      <c r="D15" s="9">
        <f>D$10*$M15*MATRICES!D5</f>
        <v>-3.9852099122125426E-10</v>
      </c>
      <c r="E15" s="9">
        <f>E$10*$M15*MATRICES!E5</f>
        <v>7.4580125688180111E-9</v>
      </c>
      <c r="F15" s="9">
        <f>F$10*$M15*MATRICES!F5</f>
        <v>5.0170045686439067E-9</v>
      </c>
      <c r="G15" s="9">
        <f>G$10*$M15*MATRICES!G5</f>
        <v>-1.3352407565726358E-10</v>
      </c>
      <c r="H15" s="9">
        <f>H$10*$M15*MATRICES!H5</f>
        <v>-4.0144765542735098E-8</v>
      </c>
      <c r="I15" s="9">
        <f>I$10*$M15*MATRICES!I5</f>
        <v>6.1545925006721946E-9</v>
      </c>
      <c r="J15" s="9">
        <f>J$10*$M15*MATRICES!J5</f>
        <v>-4.4474386349199723E-9</v>
      </c>
      <c r="K15" s="15">
        <f>K$10*$M15*MATRICES!K5</f>
        <v>-2.4236705764057123E-9</v>
      </c>
      <c r="L15" s="16" t="str">
        <f>MEDIDASESTADISTICAS!$C$6</f>
        <v>SONY</v>
      </c>
      <c r="M15" s="75">
        <f>$C$10</f>
        <v>3.3057121047331268E-3</v>
      </c>
      <c r="N15" s="55">
        <f t="shared" ref="N15:N23" si="0">M15*$N$12</f>
        <v>33057121.04733127</v>
      </c>
    </row>
    <row r="16" spans="1:14" x14ac:dyDescent="0.25">
      <c r="A16" s="22" t="str">
        <f>MEDIDASESTADISTICAS!$D$6</f>
        <v>COCA COLA</v>
      </c>
      <c r="B16" s="25">
        <f>B$10*$M16*MATRICES!B6</f>
        <v>7.670261430430078E-9</v>
      </c>
      <c r="C16" s="9">
        <f>C$10*$M16*MATRICES!C6</f>
        <v>-3.9852099122125426E-10</v>
      </c>
      <c r="D16" s="9">
        <f>D$10*$M16*MATRICES!D6</f>
        <v>4.1664249074760417E-8</v>
      </c>
      <c r="E16" s="9">
        <f>E$10*$M16*MATRICES!E6</f>
        <v>1.0846974241979189E-9</v>
      </c>
      <c r="F16" s="9">
        <f>F$10*$M16*MATRICES!F6</f>
        <v>3.3264682153252209E-9</v>
      </c>
      <c r="G16" s="9">
        <f>G$10*$M16*MATRICES!G6</f>
        <v>-5.1375948857126678E-9</v>
      </c>
      <c r="H16" s="9">
        <f>H$10*$M16*MATRICES!H6</f>
        <v>-4.3372400326851771E-8</v>
      </c>
      <c r="I16" s="9">
        <f>I$10*$M16*MATRICES!I6</f>
        <v>-4.6815389151380492E-9</v>
      </c>
      <c r="J16" s="9">
        <f>J$10*$M16*MATRICES!J6</f>
        <v>2.5285699476820905E-10</v>
      </c>
      <c r="K16" s="15">
        <f>K$10*$M16*MATRICES!K6</f>
        <v>-3.1819285118080264E-10</v>
      </c>
      <c r="L16" s="14" t="str">
        <f>MEDIDASESTADISTICAS!$D$6</f>
        <v>COCA COLA</v>
      </c>
      <c r="M16" s="76">
        <f>$D$10</f>
        <v>1.2395473832765177E-5</v>
      </c>
      <c r="N16" s="51">
        <f t="shared" si="0"/>
        <v>123954.73832765176</v>
      </c>
    </row>
    <row r="17" spans="1:14" x14ac:dyDescent="0.25">
      <c r="A17" s="21" t="str">
        <f>MEDIDASESTADISTICAS!$E$6</f>
        <v>STARBUCKS</v>
      </c>
      <c r="B17" s="25">
        <f>B$10*$M17*MATRICES!B7</f>
        <v>-3.5269199864900909E-9</v>
      </c>
      <c r="C17" s="9">
        <f>C$10*$M17*MATRICES!C7</f>
        <v>7.4580125688180111E-9</v>
      </c>
      <c r="D17" s="9">
        <f>D$10*$M17*MATRICES!D7</f>
        <v>1.0846974241979189E-9</v>
      </c>
      <c r="E17" s="9">
        <f>E$10*$M17*MATRICES!E7</f>
        <v>4.0031816290808229E-7</v>
      </c>
      <c r="F17" s="9">
        <f>F$10*$M17*MATRICES!F7</f>
        <v>2.0828389901985223E-8</v>
      </c>
      <c r="G17" s="9">
        <f>G$10*$M17*MATRICES!G7</f>
        <v>-5.2583265947269417E-10</v>
      </c>
      <c r="H17" s="9">
        <f>H$10*$M17*MATRICES!H7</f>
        <v>3.4073043749194137E-8</v>
      </c>
      <c r="I17" s="9">
        <f>I$10*$M17*MATRICES!I7</f>
        <v>2.3883477391312529E-8</v>
      </c>
      <c r="J17" s="9">
        <f>J$10*$M17*MATRICES!J7</f>
        <v>7.0045480834138316E-10</v>
      </c>
      <c r="K17" s="15">
        <f>K$10*$M17*MATRICES!K7</f>
        <v>-9.5386961937665615E-9</v>
      </c>
      <c r="L17" s="16" t="str">
        <f>MEDIDASESTADISTICAS!$E$6</f>
        <v>STARBUCKS</v>
      </c>
      <c r="M17" s="75">
        <f>$E$10</f>
        <v>3.5015266179388542E-2</v>
      </c>
      <c r="N17" s="55">
        <f t="shared" si="0"/>
        <v>350152661.79388541</v>
      </c>
    </row>
    <row r="18" spans="1:14" x14ac:dyDescent="0.25">
      <c r="A18" s="22" t="str">
        <f>MEDIDASESTADISTICAS!$F$6</f>
        <v>WALMART</v>
      </c>
      <c r="B18" s="25">
        <f>B$10*$M18*MATRICES!B8</f>
        <v>1.0140738908139504E-8</v>
      </c>
      <c r="C18" s="9">
        <f>C$10*$M18*MATRICES!C8</f>
        <v>5.0170045686439067E-9</v>
      </c>
      <c r="D18" s="9">
        <f>D$10*$M18*MATRICES!D8</f>
        <v>3.3264682153252209E-9</v>
      </c>
      <c r="E18" s="9">
        <f>E$10*$M18*MATRICES!E8</f>
        <v>2.0828389901985223E-8</v>
      </c>
      <c r="F18" s="9">
        <f>F$10*$M18*MATRICES!F8</f>
        <v>2.6522046496383205E-7</v>
      </c>
      <c r="G18" s="9">
        <f>G$10*$M18*MATRICES!G8</f>
        <v>6.3210675701975267E-10</v>
      </c>
      <c r="H18" s="9">
        <f>H$10*$M18*MATRICES!H8</f>
        <v>-4.3017433592385518E-8</v>
      </c>
      <c r="I18" s="9">
        <f>I$10*$M18*MATRICES!I8</f>
        <v>3.3894486666931576E-8</v>
      </c>
      <c r="J18" s="9">
        <f>J$10*$M18*MATRICES!J8</f>
        <v>3.6546550229040818E-8</v>
      </c>
      <c r="K18" s="15">
        <f>K$10*$M18*MATRICES!K8</f>
        <v>-8.5738536052327361E-10</v>
      </c>
      <c r="L18" s="14" t="str">
        <f>MEDIDASESTADISTICAS!$F$6</f>
        <v>WALMART</v>
      </c>
      <c r="M18" s="76">
        <f>$F$10</f>
        <v>2.4466916074344282E-2</v>
      </c>
      <c r="N18" s="51">
        <f t="shared" si="0"/>
        <v>244669160.74344283</v>
      </c>
    </row>
    <row r="19" spans="1:14" x14ac:dyDescent="0.25">
      <c r="A19" s="21" t="str">
        <f>MEDIDASESTADISTICAS!$G$6</f>
        <v>SPOTIFY</v>
      </c>
      <c r="B19" s="25">
        <f>B$10*$M19*MATRICES!B9</f>
        <v>7.2696439111900296E-9</v>
      </c>
      <c r="C19" s="9">
        <f>C$10*$M19*MATRICES!C9</f>
        <v>-1.3352407565726358E-10</v>
      </c>
      <c r="D19" s="9">
        <f>D$10*$M19*MATRICES!D9</f>
        <v>-5.1375948857126678E-9</v>
      </c>
      <c r="E19" s="9">
        <f>E$10*$M19*MATRICES!E9</f>
        <v>-5.2583265947269417E-10</v>
      </c>
      <c r="F19" s="9">
        <f>F$10*$M19*MATRICES!F9</f>
        <v>6.3210675701975267E-10</v>
      </c>
      <c r="G19" s="9">
        <f>G$10*$M19*MATRICES!G9</f>
        <v>4.108567791739487E-8</v>
      </c>
      <c r="H19" s="9">
        <f>H$10*$M19*MATRICES!H9</f>
        <v>2.5320054531143347E-8</v>
      </c>
      <c r="I19" s="9">
        <f>I$10*$M19*MATRICES!I9</f>
        <v>-4.9545839969212454E-9</v>
      </c>
      <c r="J19" s="9">
        <f>J$10*$M19*MATRICES!J9</f>
        <v>1.5398142961692802E-8</v>
      </c>
      <c r="K19" s="15">
        <f>K$10*$M19*MATRICES!K9</f>
        <v>1.4790007585363116E-9</v>
      </c>
      <c r="L19" s="16" t="str">
        <f>MEDIDASESTADISTICAS!$G$6</f>
        <v>SPOTIFY</v>
      </c>
      <c r="M19" s="75">
        <f>$G$10</f>
        <v>5.9395832767169627E-3</v>
      </c>
      <c r="N19" s="55">
        <f t="shared" si="0"/>
        <v>59395832.767169625</v>
      </c>
    </row>
    <row r="20" spans="1:14" x14ac:dyDescent="0.25">
      <c r="A20" s="22" t="str">
        <f>MEDIDASESTADISTICAS!$H$6</f>
        <v>COPPEL</v>
      </c>
      <c r="B20" s="25">
        <f>B$10*$M20*MATRICES!B10</f>
        <v>-1.055820249777837E-7</v>
      </c>
      <c r="C20" s="9">
        <f>C$10*$M20*MATRICES!C10</f>
        <v>-4.0144765542735098E-8</v>
      </c>
      <c r="D20" s="9">
        <f>D$10*$M20*MATRICES!D10</f>
        <v>-4.3372400326851771E-8</v>
      </c>
      <c r="E20" s="9">
        <f>E$10*$M20*MATRICES!E10</f>
        <v>3.4073043749194137E-8</v>
      </c>
      <c r="F20" s="9">
        <f>F$10*$M20*MATRICES!F10</f>
        <v>-4.3017433592385518E-8</v>
      </c>
      <c r="G20" s="9">
        <f>G$10*$M20*MATRICES!G10</f>
        <v>2.5320054531143347E-8</v>
      </c>
      <c r="H20" s="9">
        <f>H$10*$M20*MATRICES!H10</f>
        <v>1.1214614752834346E-5</v>
      </c>
      <c r="I20" s="9">
        <f>I$10*$M20*MATRICES!I10</f>
        <v>5.1797015663097789E-8</v>
      </c>
      <c r="J20" s="9">
        <f>J$10*$M20*MATRICES!J10</f>
        <v>-4.8863250454256423E-7</v>
      </c>
      <c r="K20" s="15">
        <f>K$10*$M20*MATRICES!K10</f>
        <v>-1.6959699943254654E-8</v>
      </c>
      <c r="L20" s="14" t="str">
        <f>MEDIDASESTADISTICAS!$H$6</f>
        <v>COPPEL</v>
      </c>
      <c r="M20" s="76">
        <f>$H$10</f>
        <v>0.78097571761730855</v>
      </c>
      <c r="N20" s="51">
        <f t="shared" si="0"/>
        <v>7809757176.1730852</v>
      </c>
    </row>
    <row r="21" spans="1:14" x14ac:dyDescent="0.25">
      <c r="A21" s="21" t="str">
        <f>MEDIDASESTADISTICAS!$I$6</f>
        <v>KRISPY KREME</v>
      </c>
      <c r="B21" s="25">
        <f>B$10*$M21*MATRICES!B11</f>
        <v>-5.3057080403077619E-9</v>
      </c>
      <c r="C21" s="9">
        <f>C$10*$M21*MATRICES!C11</f>
        <v>6.1545925006721946E-9</v>
      </c>
      <c r="D21" s="9">
        <f>D$10*$M21*MATRICES!D11</f>
        <v>-4.6815389151380492E-9</v>
      </c>
      <c r="E21" s="9">
        <f>E$10*$M21*MATRICES!E11</f>
        <v>2.3883477391312529E-8</v>
      </c>
      <c r="F21" s="9">
        <f>F$10*$M21*MATRICES!F11</f>
        <v>3.3894486666931576E-8</v>
      </c>
      <c r="G21" s="9">
        <f>G$10*$M21*MATRICES!G11</f>
        <v>-4.9545839969212454E-9</v>
      </c>
      <c r="H21" s="9">
        <f>H$10*$M21*MATRICES!H11</f>
        <v>5.1797015663097789E-8</v>
      </c>
      <c r="I21" s="9">
        <f>I$10*$M21*MATRICES!I11</f>
        <v>4.6150803913788631E-7</v>
      </c>
      <c r="J21" s="9">
        <f>J$10*$M21*MATRICES!J11</f>
        <v>-2.3481837343911469E-8</v>
      </c>
      <c r="K21" s="15">
        <f>K$10*$M21*MATRICES!K11</f>
        <v>-8.0078661862691823E-9</v>
      </c>
      <c r="L21" s="16" t="str">
        <f>MEDIDASESTADISTICAS!$I$6</f>
        <v>KRISPY KREME</v>
      </c>
      <c r="M21" s="75">
        <f>$I$10</f>
        <v>3.9153304707263664E-2</v>
      </c>
      <c r="N21" s="55">
        <f t="shared" si="0"/>
        <v>391533047.07263666</v>
      </c>
    </row>
    <row r="22" spans="1:14" x14ac:dyDescent="0.25">
      <c r="A22" s="22" t="str">
        <f>MEDIDASESTADISTICAS!$J$6</f>
        <v>COLGATE</v>
      </c>
      <c r="B22" s="25">
        <f>B$10*$M22*MATRICES!B12</f>
        <v>4.3756813852249288E-9</v>
      </c>
      <c r="C22" s="9">
        <f>C$10*$M22*MATRICES!C12</f>
        <v>-4.4474386349199723E-9</v>
      </c>
      <c r="D22" s="9">
        <f>D$10*$M22*MATRICES!D12</f>
        <v>2.5285699476820905E-10</v>
      </c>
      <c r="E22" s="9">
        <f>E$10*$M22*MATRICES!E12</f>
        <v>7.0045480834138316E-10</v>
      </c>
      <c r="F22" s="9">
        <f>F$10*$M22*MATRICES!F12</f>
        <v>3.6546550229040818E-8</v>
      </c>
      <c r="G22" s="9">
        <f>G$10*$M22*MATRICES!G12</f>
        <v>1.5398142961692802E-8</v>
      </c>
      <c r="H22" s="9">
        <f>H$10*$M22*MATRICES!H12</f>
        <v>-4.8863250454256423E-7</v>
      </c>
      <c r="I22" s="9">
        <f>I$10*$M22*MATRICES!I12</f>
        <v>-2.3481837343911469E-8</v>
      </c>
      <c r="J22" s="9">
        <f>J$10*$M22*MATRICES!J12</f>
        <v>1.5809875468158957E-6</v>
      </c>
      <c r="K22" s="15">
        <f>K$10*$M22*MATRICES!K12</f>
        <v>-1.1888679206142941E-8</v>
      </c>
      <c r="L22" s="14" t="str">
        <f>MEDIDASESTADISTICAS!$J$6</f>
        <v>COLGATE</v>
      </c>
      <c r="M22" s="76">
        <f>$J$10</f>
        <v>8.1859510302048411E-2</v>
      </c>
      <c r="N22" s="51">
        <f t="shared" si="0"/>
        <v>818595103.02048409</v>
      </c>
    </row>
    <row r="23" spans="1:14" ht="17.25" thickBot="1" x14ac:dyDescent="0.3">
      <c r="A23" s="23" t="str">
        <f>MEDIDASESTADISTICAS!$K$6</f>
        <v>GAMESA</v>
      </c>
      <c r="B23" s="26">
        <f>B$10*$M23*MATRICES!B13</f>
        <v>-6.38875433443706E-11</v>
      </c>
      <c r="C23" s="18">
        <f>C$10*$M23*MATRICES!C13</f>
        <v>-2.4236705764057123E-9</v>
      </c>
      <c r="D23" s="18">
        <f>D$10*$M23*MATRICES!D13</f>
        <v>-3.1819285118080264E-10</v>
      </c>
      <c r="E23" s="18">
        <f>E$10*$M23*MATRICES!E13</f>
        <v>-9.5386961937665615E-9</v>
      </c>
      <c r="F23" s="18">
        <f>F$10*$M23*MATRICES!F13</f>
        <v>-8.5738536052327361E-10</v>
      </c>
      <c r="G23" s="18">
        <f>G$10*$M23*MATRICES!G13</f>
        <v>1.4790007585363116E-9</v>
      </c>
      <c r="H23" s="18">
        <f>H$10*$M23*MATRICES!H13</f>
        <v>-1.6959699943254654E-8</v>
      </c>
      <c r="I23" s="18">
        <f>I$10*$M23*MATRICES!I13</f>
        <v>-8.0078661862691823E-9</v>
      </c>
      <c r="J23" s="18">
        <f>J$10*$M23*MATRICES!J13</f>
        <v>-1.1888679206142941E-8</v>
      </c>
      <c r="K23" s="19">
        <f>K$10*$M23*MATRICES!K13</f>
        <v>5.0958088870803816E-8</v>
      </c>
      <c r="L23" s="17" t="str">
        <f>MEDIDASESTADISTICAS!$K$6</f>
        <v>GAMESA</v>
      </c>
      <c r="M23" s="77">
        <f>$K$10</f>
        <v>1.8563330956099486E-4</v>
      </c>
      <c r="N23" s="57">
        <f t="shared" si="0"/>
        <v>1856333.0956099485</v>
      </c>
    </row>
    <row r="24" spans="1:14" ht="18" x14ac:dyDescent="0.25">
      <c r="L24" s="48" t="s">
        <v>35</v>
      </c>
      <c r="M24" s="49">
        <f>SUM(M14:M23)</f>
        <v>1.0000000030748177</v>
      </c>
      <c r="N24" s="43">
        <f>SUM(N14:N23)</f>
        <v>10000000030.74818</v>
      </c>
    </row>
    <row r="25" spans="1:14" ht="17.25" thickBot="1" x14ac:dyDescent="0.3"/>
    <row r="26" spans="1:14" ht="19.5" x14ac:dyDescent="0.25">
      <c r="A26" s="58" t="s">
        <v>41</v>
      </c>
      <c r="B26" s="117">
        <f>SUMPRODUCT(B5:K5,B10:K10)</f>
        <v>4.3932007208555225E-4</v>
      </c>
      <c r="C26" s="59" t="s">
        <v>42</v>
      </c>
      <c r="D26" s="168" t="s">
        <v>43</v>
      </c>
      <c r="E26" s="169"/>
    </row>
    <row r="27" spans="1:14" ht="19.5" x14ac:dyDescent="0.25">
      <c r="A27" s="60" t="s">
        <v>44</v>
      </c>
      <c r="B27" s="118">
        <f>SUM(B14:K23)</f>
        <v>1.3556980749758628E-5</v>
      </c>
      <c r="C27" s="61"/>
      <c r="D27" s="61"/>
      <c r="E27" s="62"/>
    </row>
    <row r="28" spans="1:14" ht="19.5" x14ac:dyDescent="0.25">
      <c r="A28" s="60" t="s">
        <v>45</v>
      </c>
      <c r="B28" s="119">
        <f>SQRT(B27)</f>
        <v>3.6819805471727616E-3</v>
      </c>
      <c r="C28" s="61" t="s">
        <v>46</v>
      </c>
      <c r="D28" s="61"/>
      <c r="E28" s="62"/>
    </row>
    <row r="29" spans="1:14" ht="20.25" thickBot="1" x14ac:dyDescent="0.3">
      <c r="A29" s="64" t="s">
        <v>47</v>
      </c>
      <c r="B29" s="120">
        <f>+B26/B28</f>
        <v>0.11931623930574205</v>
      </c>
      <c r="C29" s="66" t="s">
        <v>48</v>
      </c>
      <c r="D29" s="66"/>
      <c r="E29" s="67"/>
    </row>
  </sheetData>
  <mergeCells count="8">
    <mergeCell ref="D26:E26"/>
    <mergeCell ref="M8:N8"/>
    <mergeCell ref="L3:N3"/>
    <mergeCell ref="A1:N1"/>
    <mergeCell ref="A2:N2"/>
    <mergeCell ref="A3:K3"/>
    <mergeCell ref="A12:K12"/>
    <mergeCell ref="L12:M1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55C4-C784-4241-944F-E78D6CA8A56C}">
  <sheetPr codeName="Hoja8"/>
  <dimension ref="A1:N29"/>
  <sheetViews>
    <sheetView tabSelected="1" topLeftCell="D1" workbookViewId="0">
      <selection activeCell="B29" sqref="B29"/>
    </sheetView>
  </sheetViews>
  <sheetFormatPr baseColWidth="10" defaultRowHeight="16.5" x14ac:dyDescent="0.25"/>
  <cols>
    <col min="1" max="1" width="38.42578125" style="3" bestFit="1" customWidth="1"/>
    <col min="2" max="13" width="19.85546875" style="3" customWidth="1"/>
    <col min="14" max="14" width="30.7109375" style="3" customWidth="1"/>
  </cols>
  <sheetData>
    <row r="1" spans="1:14" ht="29.25" x14ac:dyDescent="0.25">
      <c r="A1" s="172" t="s">
        <v>52</v>
      </c>
      <c r="B1" s="172"/>
      <c r="C1" s="172"/>
      <c r="D1" s="172"/>
      <c r="E1" s="172"/>
      <c r="F1" s="172"/>
      <c r="G1" s="172"/>
      <c r="H1" s="172"/>
      <c r="I1" s="172"/>
      <c r="J1" s="172"/>
      <c r="K1" s="172"/>
      <c r="L1" s="172"/>
      <c r="M1" s="172"/>
      <c r="N1" s="172"/>
    </row>
    <row r="2" spans="1:14" ht="24" x14ac:dyDescent="0.25">
      <c r="A2" s="158" t="s">
        <v>31</v>
      </c>
      <c r="B2" s="158"/>
      <c r="C2" s="158"/>
      <c r="D2" s="158"/>
      <c r="E2" s="158"/>
      <c r="F2" s="158"/>
      <c r="G2" s="158"/>
      <c r="H2" s="158"/>
      <c r="I2" s="158"/>
      <c r="J2" s="158"/>
      <c r="K2" s="158"/>
      <c r="L2" s="158"/>
      <c r="M2" s="158"/>
      <c r="N2" s="158"/>
    </row>
    <row r="3" spans="1:14" ht="18.75" thickBot="1" x14ac:dyDescent="0.3">
      <c r="A3" s="162" t="s">
        <v>29</v>
      </c>
      <c r="B3" s="162"/>
      <c r="C3" s="162"/>
      <c r="D3" s="162"/>
      <c r="E3" s="162"/>
      <c r="F3" s="162"/>
      <c r="G3" s="162"/>
      <c r="H3" s="162"/>
      <c r="I3" s="162"/>
      <c r="J3" s="162"/>
      <c r="K3" s="162"/>
      <c r="L3" s="171" t="s">
        <v>51</v>
      </c>
      <c r="M3" s="171"/>
      <c r="N3" s="171"/>
    </row>
    <row r="4" spans="1:14" ht="17.25" thickBot="1" x14ac:dyDescent="0.3">
      <c r="B4" s="7" t="str">
        <f>MEDIDASESTADISTICAS!$B$6</f>
        <v>BIMBO</v>
      </c>
      <c r="C4" s="1" t="str">
        <f>MEDIDASESTADISTICAS!$C$6</f>
        <v>SONY</v>
      </c>
      <c r="D4" s="2" t="str">
        <f>MEDIDASESTADISTICAS!$D$6</f>
        <v>COCA COLA</v>
      </c>
      <c r="E4" s="1" t="str">
        <f>MEDIDASESTADISTICAS!$E$6</f>
        <v>STARBUCKS</v>
      </c>
      <c r="F4" s="2" t="str">
        <f>MEDIDASESTADISTICAS!$F$6</f>
        <v>WALMART</v>
      </c>
      <c r="G4" s="1" t="str">
        <f>MEDIDASESTADISTICAS!$G$6</f>
        <v>SPOTIFY</v>
      </c>
      <c r="H4" s="2" t="str">
        <f>MEDIDASESTADISTICAS!$H$6</f>
        <v>COPPEL</v>
      </c>
      <c r="I4" s="1" t="str">
        <f>MEDIDASESTADISTICAS!$I$6</f>
        <v>KRISPY KREME</v>
      </c>
      <c r="J4" s="2" t="str">
        <f>MEDIDASESTADISTICAS!$J$6</f>
        <v>COLGATE</v>
      </c>
      <c r="K4" s="8" t="str">
        <f>MEDIDASESTADISTICAS!$K$6</f>
        <v>GAMESA</v>
      </c>
    </row>
    <row r="5" spans="1:14" x14ac:dyDescent="0.25">
      <c r="A5" s="20" t="str">
        <f>MEDIDASESTADISTICAS!$A$7</f>
        <v>PROMEDIO</v>
      </c>
      <c r="B5" s="38">
        <f>MEDIDASESTADISTICAS!$B$7</f>
        <v>1.7358318211662595E-3</v>
      </c>
      <c r="C5" s="28">
        <f>MEDIDASESTADISTICAS!$C$7</f>
        <v>3.7602965607205839E-3</v>
      </c>
      <c r="D5" s="28">
        <f>MEDIDASESTADISTICAS!$D$7</f>
        <v>0.73442688867837536</v>
      </c>
      <c r="E5" s="28">
        <f>MEDIDASESTADISTICAS!$E$7</f>
        <v>8.9865212012353991E-4</v>
      </c>
      <c r="F5" s="28">
        <f>MEDIDASESTADISTICAS!$F$7</f>
        <v>9.2088368914591042E-4</v>
      </c>
      <c r="G5" s="28">
        <f>MEDIDASESTADISTICAS!$G$7</f>
        <v>6.1473383802669601E-4</v>
      </c>
      <c r="H5" s="28">
        <f>MEDIDASESTADISTICAS!$H$7</f>
        <v>2.7946542690133222E-4</v>
      </c>
      <c r="I5" s="28">
        <f>MEDIDASESTADISTICAS!$I$7</f>
        <v>9.7112887670545414E-4</v>
      </c>
      <c r="J5" s="28">
        <f>MEDIDASESTADISTICAS!J$7</f>
        <v>3.3345958731661676E-4</v>
      </c>
      <c r="K5" s="29">
        <f>MEDIDASESTADISTICAS!$K$7</f>
        <v>0.14045570528630563</v>
      </c>
    </row>
    <row r="6" spans="1:14" x14ac:dyDescent="0.25">
      <c r="A6" s="21" t="str">
        <f>MEDIDASESTADISTICAS!$A$8</f>
        <v>VARIANZA</v>
      </c>
      <c r="B6" s="25">
        <f>MEDIDASESTADISTICAS!$B$8</f>
        <v>5.7560276858679169E-4</v>
      </c>
      <c r="C6" s="9">
        <f>MEDIDASESTADISTICAS!$C$8</f>
        <v>7.4187649074850398E-3</v>
      </c>
      <c r="D6" s="9">
        <f>MEDIDASESTADISTICAS!$D$8</f>
        <v>271.16728513207403</v>
      </c>
      <c r="E6" s="9">
        <f>MEDIDASESTADISTICAS!$E$8</f>
        <v>3.2650544690880347E-4</v>
      </c>
      <c r="F6" s="9">
        <f>MEDIDASESTADISTICAS!$F$8</f>
        <v>4.4304574253698794E-4</v>
      </c>
      <c r="G6" s="9">
        <f>MEDIDASESTADISTICAS!$G$8</f>
        <v>1.1646046120944993E-3</v>
      </c>
      <c r="H6" s="9">
        <f>MEDIDASESTADISTICAS!$H$8</f>
        <v>1.8386933167012754E-5</v>
      </c>
      <c r="I6" s="9">
        <f>MEDIDASESTADISTICAS!$I$8</f>
        <v>3.0105262753044759E-4</v>
      </c>
      <c r="J6" s="9">
        <f>MEDIDASESTADISTICAS!J$8</f>
        <v>2.3593380103084018E-4</v>
      </c>
      <c r="K6" s="15">
        <f>MEDIDASESTADISTICAS!$K$8</f>
        <v>1.4787723336759722</v>
      </c>
    </row>
    <row r="7" spans="1:14" ht="17.25" thickBot="1" x14ac:dyDescent="0.3">
      <c r="A7" s="32" t="str">
        <f>MEDIDASESTADISTICAS!$A$9</f>
        <v>DESVIACIÓN ESTÁNDAR</v>
      </c>
      <c r="B7" s="26">
        <f>MEDIDASESTADISTICAS!$B$9</f>
        <v>2.3991722918264784E-2</v>
      </c>
      <c r="C7" s="18">
        <f>MEDIDASESTADISTICAS!$C$9</f>
        <v>8.6132252423148897E-2</v>
      </c>
      <c r="D7" s="18">
        <f>MEDIDASESTADISTICAS!$D$9</f>
        <v>16.467157773340062</v>
      </c>
      <c r="E7" s="18">
        <f>MEDIDASESTADISTICAS!$E$9</f>
        <v>1.806946172161206E-2</v>
      </c>
      <c r="F7" s="18">
        <f>MEDIDASESTADISTICAS!$F$9</f>
        <v>2.1048651798559165E-2</v>
      </c>
      <c r="G7" s="18">
        <f>MEDIDASESTADISTICAS!$G$9</f>
        <v>3.412630381530498E-2</v>
      </c>
      <c r="H7" s="18">
        <f>MEDIDASESTADISTICAS!$H$9</f>
        <v>4.2879987368249954E-3</v>
      </c>
      <c r="I7" s="18">
        <f>MEDIDASESTADISTICAS!$I$9</f>
        <v>1.7350868206820302E-2</v>
      </c>
      <c r="J7" s="18">
        <f>MEDIDASESTADISTICAS!$J$9</f>
        <v>1.5360136751697237E-2</v>
      </c>
      <c r="K7" s="19">
        <f>MEDIDASESTADISTICAS!$K$9</f>
        <v>1.2160478336298997</v>
      </c>
      <c r="M7" s="71"/>
    </row>
    <row r="8" spans="1:14" ht="17.25" thickBot="1" x14ac:dyDescent="0.35">
      <c r="M8" s="170" t="s">
        <v>49</v>
      </c>
      <c r="N8" s="170"/>
    </row>
    <row r="9" spans="1:14" ht="18.75" thickBot="1" x14ac:dyDescent="0.3">
      <c r="B9" s="7" t="str">
        <f>MEDIDASESTADISTICAS!$B$6</f>
        <v>BIMBO</v>
      </c>
      <c r="C9" s="1" t="str">
        <f>MEDIDASESTADISTICAS!$C$6</f>
        <v>SONY</v>
      </c>
      <c r="D9" s="2" t="str">
        <f>MEDIDASESTADISTICAS!$D$6</f>
        <v>COCA COLA</v>
      </c>
      <c r="E9" s="1" t="str">
        <f>MEDIDASESTADISTICAS!$E$6</f>
        <v>STARBUCKS</v>
      </c>
      <c r="F9" s="2" t="str">
        <f>MEDIDASESTADISTICAS!$F$6</f>
        <v>WALMART</v>
      </c>
      <c r="G9" s="1" t="str">
        <f>MEDIDASESTADISTICAS!$G$6</f>
        <v>SPOTIFY</v>
      </c>
      <c r="H9" s="2" t="str">
        <f>MEDIDASESTADISTICAS!$H$6</f>
        <v>COPPEL</v>
      </c>
      <c r="I9" s="1" t="str">
        <f>MEDIDASESTADISTICAS!$I$6</f>
        <v>KRISPY KREME</v>
      </c>
      <c r="J9" s="2" t="str">
        <f>MEDIDASESTADISTICAS!$J$6</f>
        <v>COLGATE</v>
      </c>
      <c r="K9" s="8" t="str">
        <f>MEDIDASESTADISTICAS!$K$6</f>
        <v>GAMESA</v>
      </c>
      <c r="L9" s="41" t="s">
        <v>35</v>
      </c>
      <c r="M9" s="70"/>
      <c r="N9" s="69"/>
    </row>
    <row r="10" spans="1:14" ht="18.75" thickBot="1" x14ac:dyDescent="0.3">
      <c r="A10" s="39" t="s">
        <v>34</v>
      </c>
      <c r="B10" s="72">
        <v>9.5906828172599989E-2</v>
      </c>
      <c r="C10" s="72">
        <v>1.8086927763170824E-2</v>
      </c>
      <c r="D10" s="72">
        <v>9.1765047975104412E-5</v>
      </c>
      <c r="E10" s="72">
        <v>8.5257404041197887E-2</v>
      </c>
      <c r="F10" s="72">
        <v>4.4613067200997655E-2</v>
      </c>
      <c r="G10" s="72">
        <v>1.1998969496989458E-2</v>
      </c>
      <c r="H10" s="72">
        <v>0.56759791446865526</v>
      </c>
      <c r="I10" s="72">
        <v>0.10209754838734199</v>
      </c>
      <c r="J10" s="72">
        <v>7.1123733726117633E-2</v>
      </c>
      <c r="K10" s="72">
        <v>3.2258361459992003E-3</v>
      </c>
      <c r="L10" s="40">
        <f>SUM(B10:K10)</f>
        <v>0.99999999445104504</v>
      </c>
      <c r="M10" s="70"/>
      <c r="N10" s="69"/>
    </row>
    <row r="11" spans="1:14" ht="17.25" thickBot="1" x14ac:dyDescent="0.3">
      <c r="M11" s="69"/>
      <c r="N11" s="69"/>
    </row>
    <row r="12" spans="1:14" ht="18.75" thickBot="1" x14ac:dyDescent="0.3">
      <c r="A12" s="163" t="s">
        <v>36</v>
      </c>
      <c r="B12" s="164"/>
      <c r="C12" s="164"/>
      <c r="D12" s="164"/>
      <c r="E12" s="164"/>
      <c r="F12" s="164"/>
      <c r="G12" s="164"/>
      <c r="H12" s="164"/>
      <c r="I12" s="164"/>
      <c r="J12" s="164"/>
      <c r="K12" s="165"/>
      <c r="L12" s="166" t="s">
        <v>40</v>
      </c>
      <c r="M12" s="167"/>
      <c r="N12" s="44">
        <f>MENU!D3</f>
        <v>10000000000</v>
      </c>
    </row>
    <row r="13" spans="1:14" ht="18.75" thickBot="1" x14ac:dyDescent="0.3">
      <c r="B13" s="7" t="str">
        <f>MEDIDASESTADISTICAS!$B$6</f>
        <v>BIMBO</v>
      </c>
      <c r="C13" s="1" t="str">
        <f>MEDIDASESTADISTICAS!$C$6</f>
        <v>SONY</v>
      </c>
      <c r="D13" s="2" t="str">
        <f>MEDIDASESTADISTICAS!$D$6</f>
        <v>COCA COLA</v>
      </c>
      <c r="E13" s="1" t="str">
        <f>MEDIDASESTADISTICAS!$E$6</f>
        <v>STARBUCKS</v>
      </c>
      <c r="F13" s="2" t="str">
        <f>MEDIDASESTADISTICAS!$F$6</f>
        <v>WALMART</v>
      </c>
      <c r="G13" s="1" t="str">
        <f>MEDIDASESTADISTICAS!$G$6</f>
        <v>SPOTIFY</v>
      </c>
      <c r="H13" s="2" t="str">
        <f>MEDIDASESTADISTICAS!$H$6</f>
        <v>COPPEL</v>
      </c>
      <c r="I13" s="1" t="str">
        <f>MEDIDASESTADISTICAS!$I$6</f>
        <v>KRISPY KREME</v>
      </c>
      <c r="J13" s="2" t="str">
        <f>MEDIDASESTADISTICAS!$J$6</f>
        <v>COLGATE</v>
      </c>
      <c r="K13" s="8" t="str">
        <f>MEDIDASESTADISTICAS!$K$6</f>
        <v>GAMESA</v>
      </c>
      <c r="L13" s="45" t="s">
        <v>37</v>
      </c>
      <c r="M13" s="46" t="s">
        <v>39</v>
      </c>
      <c r="N13" s="47" t="s">
        <v>38</v>
      </c>
    </row>
    <row r="14" spans="1:14" x14ac:dyDescent="0.25">
      <c r="A14" s="20" t="str">
        <f>MEDIDASESTADISTICAS!$B$6</f>
        <v>BIMBO</v>
      </c>
      <c r="B14" s="25">
        <f>B$10*$M14*MATRICES!B4</f>
        <v>5.2944631594307253E-6</v>
      </c>
      <c r="C14" s="9">
        <f>C$10*$M14*MATRICES!C4</f>
        <v>-1.3717232803808959E-7</v>
      </c>
      <c r="D14" s="9">
        <f>D$10*$M14*MATRICES!D4</f>
        <v>1.872364486615631E-7</v>
      </c>
      <c r="E14" s="9">
        <f>E$10*$M14*MATRICES!E4</f>
        <v>-2.8316289609417243E-8</v>
      </c>
      <c r="F14" s="9">
        <f>F$10*$M14*MATRICES!F4</f>
        <v>6.0970325975648108E-8</v>
      </c>
      <c r="G14" s="9">
        <f>G$10*$M14*MATRICES!G4</f>
        <v>4.8424726598097029E-8</v>
      </c>
      <c r="H14" s="9">
        <f>H$10*$M14*MATRICES!H4</f>
        <v>-2.530225993039497E-7</v>
      </c>
      <c r="I14" s="9">
        <f>I$10*$M14*MATRICES!I4</f>
        <v>-4.5620107383462686E-8</v>
      </c>
      <c r="J14" s="9">
        <f>J$10*$M14*MATRICES!J4</f>
        <v>1.2535947423640071E-8</v>
      </c>
      <c r="K14" s="15">
        <f>K$10*$M14*MATRICES!K4</f>
        <v>-3.6607380264344616E-9</v>
      </c>
      <c r="L14" s="24" t="str">
        <f>MEDIDASESTADISTICAS!$B$6</f>
        <v>BIMBO</v>
      </c>
      <c r="M14" s="78">
        <f>$B$10</f>
        <v>9.5906828172599989E-2</v>
      </c>
      <c r="N14" s="54">
        <f>M14*$N$12</f>
        <v>959068281.72599995</v>
      </c>
    </row>
    <row r="15" spans="1:14" x14ac:dyDescent="0.25">
      <c r="A15" s="21" t="str">
        <f>MEDIDASESTADISTICAS!$C$6</f>
        <v>SONY</v>
      </c>
      <c r="B15" s="25">
        <f>B$10*$M15*MATRICES!B5</f>
        <v>-1.3717232803808959E-7</v>
      </c>
      <c r="C15" s="9">
        <f>C$10*$M15*MATRICES!C5</f>
        <v>2.4269521684477725E-6</v>
      </c>
      <c r="D15" s="9">
        <f>D$10*$M15*MATRICES!D5</f>
        <v>-1.614228984082536E-8</v>
      </c>
      <c r="E15" s="9">
        <f>E$10*$M15*MATRICES!E5</f>
        <v>9.9356791775443698E-8</v>
      </c>
      <c r="F15" s="9">
        <f>F$10*$M15*MATRICES!F5</f>
        <v>5.0052655410450856E-8</v>
      </c>
      <c r="G15" s="9">
        <f>G$10*$M15*MATRICES!G5</f>
        <v>-1.4758673654527816E-9</v>
      </c>
      <c r="H15" s="9">
        <f>H$10*$M15*MATRICES!H5</f>
        <v>-1.5963641349899053E-7</v>
      </c>
      <c r="I15" s="9">
        <f>I$10*$M15*MATRICES!I5</f>
        <v>8.7810402690287759E-8</v>
      </c>
      <c r="J15" s="9">
        <f>J$10*$M15*MATRICES!J5</f>
        <v>-2.1142441887342782E-8</v>
      </c>
      <c r="K15" s="15">
        <f>K$10*$M15*MATRICES!K5</f>
        <v>-2.3044100621506443E-7</v>
      </c>
      <c r="L15" s="16" t="str">
        <f>MEDIDASESTADISTICAS!$C$6</f>
        <v>SONY</v>
      </c>
      <c r="M15" s="79">
        <f>$C$10</f>
        <v>1.8086927763170824E-2</v>
      </c>
      <c r="N15" s="55">
        <f t="shared" ref="N15:N23" si="0">M15*$N$12</f>
        <v>180869277.63170823</v>
      </c>
    </row>
    <row r="16" spans="1:14" x14ac:dyDescent="0.25">
      <c r="A16" s="22" t="str">
        <f>MEDIDASESTADISTICAS!$D$6</f>
        <v>COCA COLA</v>
      </c>
      <c r="B16" s="25">
        <f>B$10*$M16*MATRICES!B6</f>
        <v>1.872364486615631E-7</v>
      </c>
      <c r="C16" s="9">
        <f>C$10*$M16*MATRICES!C6</f>
        <v>-1.614228984082536E-8</v>
      </c>
      <c r="D16" s="9">
        <f>D$10*$M16*MATRICES!D6</f>
        <v>2.283451990755652E-6</v>
      </c>
      <c r="E16" s="9">
        <f>E$10*$M16*MATRICES!E6</f>
        <v>1.9552281656356585E-8</v>
      </c>
      <c r="F16" s="9">
        <f>F$10*$M16*MATRICES!F6</f>
        <v>4.4903520479761257E-8</v>
      </c>
      <c r="G16" s="9">
        <f>G$10*$M16*MATRICES!G6</f>
        <v>-7.6835512520164009E-8</v>
      </c>
      <c r="H16" s="9">
        <f>H$10*$M16*MATRICES!H6</f>
        <v>-2.3336239912385555E-7</v>
      </c>
      <c r="I16" s="9">
        <f>I$10*$M16*MATRICES!I6</f>
        <v>-9.0375287189568233E-8</v>
      </c>
      <c r="J16" s="9">
        <f>J$10*$M16*MATRICES!J6</f>
        <v>1.626426868417343E-9</v>
      </c>
      <c r="K16" s="15">
        <f>K$10*$M16*MATRICES!K6</f>
        <v>-4.0934640218394654E-8</v>
      </c>
      <c r="L16" s="14" t="str">
        <f>MEDIDASESTADISTICAS!$D$6</f>
        <v>COCA COLA</v>
      </c>
      <c r="M16" s="80">
        <f>$D$10</f>
        <v>9.1765047975104412E-5</v>
      </c>
      <c r="N16" s="51">
        <f t="shared" si="0"/>
        <v>917650.47975104407</v>
      </c>
    </row>
    <row r="17" spans="1:14" x14ac:dyDescent="0.25">
      <c r="A17" s="21" t="str">
        <f>MEDIDASESTADISTICAS!$E$6</f>
        <v>STARBUCKS</v>
      </c>
      <c r="B17" s="25">
        <f>B$10*$M17*MATRICES!B7</f>
        <v>-2.8316289609417243E-8</v>
      </c>
      <c r="C17" s="9">
        <f>C$10*$M17*MATRICES!C7</f>
        <v>9.9356791775443698E-8</v>
      </c>
      <c r="D17" s="9">
        <f>D$10*$M17*MATRICES!D7</f>
        <v>1.9552281656356585E-8</v>
      </c>
      <c r="E17" s="9">
        <f>E$10*$M17*MATRICES!E7</f>
        <v>2.3733109367916604E-6</v>
      </c>
      <c r="F17" s="9">
        <f>F$10*$M17*MATRICES!F7</f>
        <v>9.2472632658517214E-8</v>
      </c>
      <c r="G17" s="9">
        <f>G$10*$M17*MATRICES!G7</f>
        <v>-2.5864864222899945E-9</v>
      </c>
      <c r="H17" s="9">
        <f>H$10*$M17*MATRICES!H7</f>
        <v>6.0296050204803139E-8</v>
      </c>
      <c r="I17" s="9">
        <f>I$10*$M17*MATRICES!I7</f>
        <v>1.5164186666233481E-7</v>
      </c>
      <c r="J17" s="9">
        <f>J$10*$M17*MATRICES!J7</f>
        <v>1.4818361956795864E-9</v>
      </c>
      <c r="K17" s="15">
        <f>K$10*$M17*MATRICES!K7</f>
        <v>-4.035990041286988E-7</v>
      </c>
      <c r="L17" s="16" t="str">
        <f>MEDIDASESTADISTICAS!$E$6</f>
        <v>STARBUCKS</v>
      </c>
      <c r="M17" s="79">
        <f>$E$10</f>
        <v>8.5257404041197887E-2</v>
      </c>
      <c r="N17" s="55">
        <f t="shared" si="0"/>
        <v>852574040.41197884</v>
      </c>
    </row>
    <row r="18" spans="1:14" x14ac:dyDescent="0.25">
      <c r="A18" s="22" t="str">
        <f>MEDIDASESTADISTICAS!$F$6</f>
        <v>WALMART</v>
      </c>
      <c r="B18" s="25">
        <f>B$10*$M18*MATRICES!B8</f>
        <v>6.0970325975648108E-8</v>
      </c>
      <c r="C18" s="9">
        <f>C$10*$M18*MATRICES!C8</f>
        <v>5.0052655410450856E-8</v>
      </c>
      <c r="D18" s="9">
        <f>D$10*$M18*MATRICES!D8</f>
        <v>4.4903520479761257E-8</v>
      </c>
      <c r="E18" s="9">
        <f>E$10*$M18*MATRICES!E8</f>
        <v>9.2472632658517214E-8</v>
      </c>
      <c r="F18" s="9">
        <f>F$10*$M18*MATRICES!F8</f>
        <v>8.8180535648069122E-7</v>
      </c>
      <c r="G18" s="9">
        <f>G$10*$M18*MATRICES!G8</f>
        <v>2.3284196545697742E-9</v>
      </c>
      <c r="H18" s="9">
        <f>H$10*$M18*MATRICES!H8</f>
        <v>-5.700731773681266E-8</v>
      </c>
      <c r="I18" s="9">
        <f>I$10*$M18*MATRICES!I8</f>
        <v>1.6116057217671109E-7</v>
      </c>
      <c r="J18" s="9">
        <f>J$10*$M18*MATRICES!J8</f>
        <v>5.7899477401277687E-8</v>
      </c>
      <c r="K18" s="15">
        <f>K$10*$M18*MATRICES!K8</f>
        <v>-2.7167226931542556E-8</v>
      </c>
      <c r="L18" s="14" t="str">
        <f>MEDIDASESTADISTICAS!$F$6</f>
        <v>WALMART</v>
      </c>
      <c r="M18" s="80">
        <f>$F$10</f>
        <v>4.4613067200997655E-2</v>
      </c>
      <c r="N18" s="51">
        <f t="shared" si="0"/>
        <v>446130672.00997657</v>
      </c>
    </row>
    <row r="19" spans="1:14" x14ac:dyDescent="0.25">
      <c r="A19" s="21" t="str">
        <f>MEDIDASESTADISTICAS!$G$6</f>
        <v>SPOTIFY</v>
      </c>
      <c r="B19" s="25">
        <f>B$10*$M19*MATRICES!B9</f>
        <v>4.8424726598097029E-8</v>
      </c>
      <c r="C19" s="9">
        <f>C$10*$M19*MATRICES!C9</f>
        <v>-1.4758673654527816E-9</v>
      </c>
      <c r="D19" s="9">
        <f>D$10*$M19*MATRICES!D9</f>
        <v>-7.6835512520164009E-8</v>
      </c>
      <c r="E19" s="9">
        <f>E$10*$M19*MATRICES!E9</f>
        <v>-2.5864864222899945E-9</v>
      </c>
      <c r="F19" s="9">
        <f>F$10*$M19*MATRICES!F9</f>
        <v>2.3284196545697742E-9</v>
      </c>
      <c r="G19" s="9">
        <f>G$10*$M19*MATRICES!G9</f>
        <v>1.6767426229293136E-7</v>
      </c>
      <c r="H19" s="9">
        <f>H$10*$M19*MATRICES!H9</f>
        <v>3.7175418853131784E-8</v>
      </c>
      <c r="I19" s="9">
        <f>I$10*$M19*MATRICES!I9</f>
        <v>-2.6100093223739828E-8</v>
      </c>
      <c r="J19" s="9">
        <f>J$10*$M19*MATRICES!J9</f>
        <v>2.7027241734918543E-8</v>
      </c>
      <c r="K19" s="15">
        <f>K$10*$M19*MATRICES!K9</f>
        <v>5.1920966313419556E-8</v>
      </c>
      <c r="L19" s="16" t="str">
        <f>MEDIDASESTADISTICAS!$G$6</f>
        <v>SPOTIFY</v>
      </c>
      <c r="M19" s="79">
        <f>$G$10</f>
        <v>1.1998969496989458E-2</v>
      </c>
      <c r="N19" s="55">
        <f t="shared" si="0"/>
        <v>119989694.96989459</v>
      </c>
    </row>
    <row r="20" spans="1:14" x14ac:dyDescent="0.25">
      <c r="A20" s="22" t="str">
        <f>MEDIDASESTADISTICAS!$H$6</f>
        <v>COPPEL</v>
      </c>
      <c r="B20" s="25">
        <f>B$10*$M20*MATRICES!B10</f>
        <v>-2.530225993039497E-7</v>
      </c>
      <c r="C20" s="9">
        <f>C$10*$M20*MATRICES!C10</f>
        <v>-1.5963641349899053E-7</v>
      </c>
      <c r="D20" s="9">
        <f>D$10*$M20*MATRICES!D10</f>
        <v>-2.3336239912385555E-7</v>
      </c>
      <c r="E20" s="9">
        <f>E$10*$M20*MATRICES!E10</f>
        <v>6.0296050204803139E-8</v>
      </c>
      <c r="F20" s="9">
        <f>F$10*$M20*MATRICES!F10</f>
        <v>-5.700731773681266E-8</v>
      </c>
      <c r="G20" s="9">
        <f>G$10*$M20*MATRICES!G10</f>
        <v>3.7175418853131784E-8</v>
      </c>
      <c r="H20" s="9">
        <f>H$10*$M20*MATRICES!H10</f>
        <v>5.9236703146568158E-6</v>
      </c>
      <c r="I20" s="9">
        <f>I$10*$M20*MATRICES!I10</f>
        <v>9.8164596965201901E-8</v>
      </c>
      <c r="J20" s="9">
        <f>J$10*$M20*MATRICES!J10</f>
        <v>-3.0855388486186518E-7</v>
      </c>
      <c r="K20" s="15">
        <f>K$10*$M20*MATRICES!K10</f>
        <v>-2.141942563101027E-7</v>
      </c>
      <c r="L20" s="14" t="str">
        <f>MEDIDASESTADISTICAS!$H$6</f>
        <v>COPPEL</v>
      </c>
      <c r="M20" s="80">
        <f>$H$10</f>
        <v>0.56759791446865526</v>
      </c>
      <c r="N20" s="51">
        <f t="shared" si="0"/>
        <v>5675979144.686553</v>
      </c>
    </row>
    <row r="21" spans="1:14" x14ac:dyDescent="0.25">
      <c r="A21" s="21" t="str">
        <f>MEDIDASESTADISTICAS!$I$6</f>
        <v>KRISPY KREME</v>
      </c>
      <c r="B21" s="25">
        <f>B$10*$M21*MATRICES!B11</f>
        <v>-4.5620107383462686E-8</v>
      </c>
      <c r="C21" s="9">
        <f>C$10*$M21*MATRICES!C11</f>
        <v>8.7810402690287759E-8</v>
      </c>
      <c r="D21" s="9">
        <f>D$10*$M21*MATRICES!D11</f>
        <v>-9.0375287189568233E-8</v>
      </c>
      <c r="E21" s="9">
        <f>E$10*$M21*MATRICES!E11</f>
        <v>1.5164186666233481E-7</v>
      </c>
      <c r="F21" s="9">
        <f>F$10*$M21*MATRICES!F11</f>
        <v>1.6116057217671109E-7</v>
      </c>
      <c r="G21" s="9">
        <f>G$10*$M21*MATRICES!G11</f>
        <v>-2.6100093223739828E-8</v>
      </c>
      <c r="H21" s="9">
        <f>H$10*$M21*MATRICES!H11</f>
        <v>9.8164596965201901E-8</v>
      </c>
      <c r="I21" s="9">
        <f>I$10*$M21*MATRICES!I11</f>
        <v>3.1381453100070273E-6</v>
      </c>
      <c r="J21" s="9">
        <f>J$10*$M21*MATRICES!J11</f>
        <v>-5.3201560356729488E-8</v>
      </c>
      <c r="K21" s="15">
        <f>K$10*$M21*MATRICES!K11</f>
        <v>-3.6286918826386975E-7</v>
      </c>
      <c r="L21" s="16" t="str">
        <f>MEDIDASESTADISTICAS!$I$6</f>
        <v>KRISPY KREME</v>
      </c>
      <c r="M21" s="79">
        <f>$I$10</f>
        <v>0.10209754838734199</v>
      </c>
      <c r="N21" s="55">
        <f t="shared" si="0"/>
        <v>1020975483.8734199</v>
      </c>
    </row>
    <row r="22" spans="1:14" x14ac:dyDescent="0.25">
      <c r="A22" s="22" t="str">
        <f>MEDIDASESTADISTICAS!$J$6</f>
        <v>COLGATE</v>
      </c>
      <c r="B22" s="25">
        <f>B$10*$M22*MATRICES!B12</f>
        <v>1.2535947423640071E-8</v>
      </c>
      <c r="C22" s="9">
        <f>C$10*$M22*MATRICES!C12</f>
        <v>-2.1142441887342782E-8</v>
      </c>
      <c r="D22" s="9">
        <f>D$10*$M22*MATRICES!D12</f>
        <v>1.626426868417343E-9</v>
      </c>
      <c r="E22" s="9">
        <f>E$10*$M22*MATRICES!E12</f>
        <v>1.4818361956795864E-9</v>
      </c>
      <c r="F22" s="9">
        <f>F$10*$M22*MATRICES!F12</f>
        <v>5.7899477401277687E-8</v>
      </c>
      <c r="G22" s="9">
        <f>G$10*$M22*MATRICES!G12</f>
        <v>2.7027241734918543E-8</v>
      </c>
      <c r="H22" s="9">
        <f>H$10*$M22*MATRICES!H12</f>
        <v>-3.0855388486186518E-7</v>
      </c>
      <c r="I22" s="9">
        <f>I$10*$M22*MATRICES!I12</f>
        <v>-5.3201560356729488E-8</v>
      </c>
      <c r="J22" s="9">
        <f>J$10*$M22*MATRICES!J12</f>
        <v>1.1934913046524596E-6</v>
      </c>
      <c r="K22" s="15">
        <f>K$10*$M22*MATRICES!K12</f>
        <v>-1.7950039559924599E-7</v>
      </c>
      <c r="L22" s="14" t="str">
        <f>MEDIDASESTADISTICAS!$J$6</f>
        <v>COLGATE</v>
      </c>
      <c r="M22" s="80">
        <f>$J$10</f>
        <v>7.1123733726117633E-2</v>
      </c>
      <c r="N22" s="51">
        <f t="shared" si="0"/>
        <v>711237337.26117635</v>
      </c>
    </row>
    <row r="23" spans="1:14" ht="17.25" thickBot="1" x14ac:dyDescent="0.3">
      <c r="A23" s="23" t="str">
        <f>MEDIDASESTADISTICAS!$K$6</f>
        <v>GAMESA</v>
      </c>
      <c r="B23" s="26">
        <f>B$10*$M23*MATRICES!B13</f>
        <v>-3.6607380264344616E-9</v>
      </c>
      <c r="C23" s="18">
        <f>C$10*$M23*MATRICES!C13</f>
        <v>-2.3044100621506443E-7</v>
      </c>
      <c r="D23" s="18">
        <f>D$10*$M23*MATRICES!D13</f>
        <v>-4.0934640218394654E-8</v>
      </c>
      <c r="E23" s="18">
        <f>E$10*$M23*MATRICES!E13</f>
        <v>-4.035990041286988E-7</v>
      </c>
      <c r="F23" s="18">
        <f>F$10*$M23*MATRICES!F13</f>
        <v>-2.7167226931542556E-8</v>
      </c>
      <c r="G23" s="18">
        <f>G$10*$M23*MATRICES!G13</f>
        <v>5.1920966313419556E-8</v>
      </c>
      <c r="H23" s="18">
        <f>H$10*$M23*MATRICES!H13</f>
        <v>-2.141942563101027E-7</v>
      </c>
      <c r="I23" s="18">
        <f>I$10*$M23*MATRICES!I13</f>
        <v>-3.6286918826386975E-7</v>
      </c>
      <c r="J23" s="18">
        <f>J$10*$M23*MATRICES!J13</f>
        <v>-1.7950039559924599E-7</v>
      </c>
      <c r="K23" s="19">
        <f>K$10*$M23*MATRICES!K13</f>
        <v>1.5388132765537705E-5</v>
      </c>
      <c r="L23" s="17" t="str">
        <f>MEDIDASESTADISTICAS!$K$6</f>
        <v>GAMESA</v>
      </c>
      <c r="M23" s="81">
        <f>$K$10</f>
        <v>3.2258361459992003E-3</v>
      </c>
      <c r="N23" s="57">
        <f t="shared" si="0"/>
        <v>32258361.459992003</v>
      </c>
    </row>
    <row r="24" spans="1:14" ht="18" x14ac:dyDescent="0.25">
      <c r="L24" s="48" t="s">
        <v>35</v>
      </c>
      <c r="M24" s="49">
        <f>SUM(M14:M23)</f>
        <v>0.99999999445104504</v>
      </c>
      <c r="N24" s="43">
        <f>SUM(N14:N23)</f>
        <v>9999999944.5104504</v>
      </c>
    </row>
    <row r="25" spans="1:14" ht="17.25" thickBot="1" x14ac:dyDescent="0.3"/>
    <row r="26" spans="1:14" ht="19.5" x14ac:dyDescent="0.25">
      <c r="A26" s="58" t="s">
        <v>41</v>
      </c>
      <c r="B26" s="117">
        <f>SUMPRODUCT(B5:K5,B10:K10)</f>
        <v>1.1615392733981974E-3</v>
      </c>
      <c r="C26" s="59" t="s">
        <v>42</v>
      </c>
      <c r="D26" s="168" t="s">
        <v>43</v>
      </c>
      <c r="E26" s="169"/>
    </row>
    <row r="27" spans="1:14" ht="19.5" x14ac:dyDescent="0.25">
      <c r="A27" s="60" t="s">
        <v>44</v>
      </c>
      <c r="B27" s="118">
        <f>SUM(B14:K23)</f>
        <v>3.5833340113662081E-5</v>
      </c>
      <c r="C27" s="61"/>
      <c r="D27" s="61"/>
      <c r="E27" s="62"/>
    </row>
    <row r="28" spans="1:14" ht="19.5" x14ac:dyDescent="0.25">
      <c r="A28" s="60" t="s">
        <v>45</v>
      </c>
      <c r="B28" s="119">
        <f>SQRT(B27)</f>
        <v>5.9860955650291852E-3</v>
      </c>
      <c r="C28" s="61" t="s">
        <v>46</v>
      </c>
      <c r="D28" s="61"/>
      <c r="E28" s="62"/>
    </row>
    <row r="29" spans="1:14" ht="20.25" thickBot="1" x14ac:dyDescent="0.3">
      <c r="A29" s="64" t="s">
        <v>47</v>
      </c>
      <c r="B29" s="120">
        <f>+B26/B28</f>
        <v>0.19403954727751399</v>
      </c>
      <c r="C29" s="66" t="s">
        <v>48</v>
      </c>
      <c r="D29" s="66"/>
      <c r="E29" s="67"/>
    </row>
  </sheetData>
  <mergeCells count="8">
    <mergeCell ref="D26:E26"/>
    <mergeCell ref="A1:N1"/>
    <mergeCell ref="A2:N2"/>
    <mergeCell ref="A3:K3"/>
    <mergeCell ref="L3:N3"/>
    <mergeCell ref="M8:N8"/>
    <mergeCell ref="A12:K12"/>
    <mergeCell ref="L12:M1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362F-03AB-4E4E-BAD1-6B1CD235893A}">
  <sheetPr codeName="Hoja9"/>
  <dimension ref="A1:T1"/>
  <sheetViews>
    <sheetView topLeftCell="A25" workbookViewId="0"/>
  </sheetViews>
  <sheetFormatPr baseColWidth="10" defaultRowHeight="15" x14ac:dyDescent="0.25"/>
  <cols>
    <col min="1" max="20" width="11.42578125" style="33"/>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200AC-4FF0-4B89-80B3-AEE2225ABC2F}">
  <sheetPr codeName="Hoja10"/>
  <dimension ref="A1:O1"/>
  <sheetViews>
    <sheetView workbookViewId="0"/>
  </sheetViews>
  <sheetFormatPr baseColWidth="10" defaultRowHeight="15" x14ac:dyDescent="0.25"/>
  <cols>
    <col min="1" max="15" width="11.42578125" style="33"/>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5E0D2-48E6-43F2-86BF-97B95C56F78F}">
  <sheetPr codeName="Hoja11"/>
  <dimension ref="A1:R1"/>
  <sheetViews>
    <sheetView workbookViewId="0"/>
  </sheetViews>
  <sheetFormatPr baseColWidth="10" defaultRowHeight="15" x14ac:dyDescent="0.25"/>
  <cols>
    <col min="1" max="18" width="11.42578125" style="33"/>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74B76-8E7F-46B5-B538-DB6AC33387F2}">
  <sheetPr codeName="Hoja13"/>
  <dimension ref="A1:AX62"/>
  <sheetViews>
    <sheetView workbookViewId="0">
      <selection activeCell="E7" sqref="E7"/>
    </sheetView>
  </sheetViews>
  <sheetFormatPr baseColWidth="10" defaultRowHeight="19.5" x14ac:dyDescent="0.25"/>
  <cols>
    <col min="1" max="2" width="11.42578125" style="104"/>
    <col min="3" max="3" width="13.85546875" style="122" bestFit="1" customWidth="1"/>
    <col min="4" max="4" width="20.5703125" style="122" bestFit="1" customWidth="1"/>
    <col min="5" max="5" width="22.7109375" style="122" customWidth="1"/>
    <col min="6" max="6" width="23.28515625" style="122" bestFit="1" customWidth="1"/>
    <col min="7" max="7" width="11.42578125" style="122"/>
    <col min="8" max="8" width="25.28515625" style="122" bestFit="1" customWidth="1"/>
    <col min="9" max="9" width="13.28515625" style="122" bestFit="1" customWidth="1"/>
    <col min="10" max="13" width="11.42578125" style="122"/>
    <col min="14" max="14" width="18.7109375" style="122" customWidth="1"/>
    <col min="15" max="20" width="11.42578125" style="122"/>
    <col min="21" max="50" width="11.42578125" style="104"/>
  </cols>
  <sheetData>
    <row r="1" spans="3:24" x14ac:dyDescent="0.25">
      <c r="C1" s="173" t="s">
        <v>88</v>
      </c>
      <c r="D1" s="173"/>
      <c r="E1" s="173"/>
      <c r="F1" s="173"/>
      <c r="G1" s="173"/>
      <c r="H1" s="173"/>
      <c r="I1" s="173"/>
      <c r="J1" s="173"/>
      <c r="K1" s="173"/>
      <c r="L1" s="173"/>
      <c r="M1" s="173"/>
      <c r="N1" s="173"/>
      <c r="O1" s="173"/>
      <c r="P1" s="173"/>
      <c r="Q1" s="173"/>
      <c r="R1" s="173"/>
      <c r="S1" s="173"/>
      <c r="T1" s="173"/>
      <c r="U1" s="107"/>
      <c r="V1" s="107"/>
      <c r="W1" s="107"/>
      <c r="X1" s="107"/>
    </row>
    <row r="2" spans="3:24" x14ac:dyDescent="0.25">
      <c r="C2" s="135"/>
      <c r="D2" s="135"/>
      <c r="E2" s="135"/>
      <c r="F2" s="135"/>
      <c r="G2" s="135"/>
      <c r="H2" s="135"/>
      <c r="I2" s="135"/>
      <c r="J2" s="135"/>
      <c r="K2" s="135"/>
      <c r="L2" s="135"/>
      <c r="M2" s="135"/>
      <c r="N2" s="135"/>
      <c r="O2" s="135"/>
      <c r="P2" s="135"/>
      <c r="Q2" s="135"/>
      <c r="R2" s="135"/>
      <c r="S2" s="135"/>
      <c r="T2" s="135"/>
    </row>
    <row r="3" spans="3:24" x14ac:dyDescent="0.25">
      <c r="C3" s="135"/>
      <c r="D3" s="135" t="s">
        <v>37</v>
      </c>
      <c r="E3" s="135"/>
      <c r="F3" s="135"/>
      <c r="G3" s="135"/>
      <c r="H3" s="135"/>
      <c r="I3" s="135"/>
      <c r="J3" s="135"/>
      <c r="K3" s="135"/>
      <c r="L3" s="135"/>
      <c r="M3" s="135"/>
      <c r="N3" s="135"/>
      <c r="O3" s="135"/>
      <c r="P3" s="135"/>
      <c r="Q3" s="135"/>
      <c r="R3" s="135"/>
      <c r="S3" s="135"/>
      <c r="T3" s="135"/>
    </row>
    <row r="4" spans="3:24" x14ac:dyDescent="0.3">
      <c r="C4" s="135"/>
      <c r="D4" s="136" t="str">
        <f>MEDIDASESTADISTICAS!$B$6</f>
        <v>BIMBO</v>
      </c>
      <c r="E4" s="140" t="s">
        <v>90</v>
      </c>
      <c r="F4" s="123"/>
      <c r="G4" s="123"/>
      <c r="H4" s="123"/>
      <c r="I4" s="123"/>
      <c r="J4" s="123"/>
      <c r="K4" s="123"/>
      <c r="L4" s="123"/>
      <c r="M4" s="123"/>
      <c r="N4" s="123"/>
      <c r="O4" s="123"/>
      <c r="P4" s="123"/>
      <c r="Q4" s="123"/>
      <c r="R4" s="123"/>
      <c r="S4" s="123"/>
      <c r="T4" s="123"/>
      <c r="U4" s="121"/>
      <c r="V4" s="121"/>
      <c r="W4" s="121"/>
    </row>
    <row r="5" spans="3:24" x14ac:dyDescent="0.3">
      <c r="C5" s="135"/>
      <c r="D5" s="136" t="str">
        <f>MEDIDASESTADISTICAS!$C$6</f>
        <v>SONY</v>
      </c>
      <c r="E5" s="140" t="s">
        <v>91</v>
      </c>
      <c r="F5" s="123"/>
      <c r="G5" s="123"/>
      <c r="H5" s="123"/>
      <c r="I5" s="123"/>
      <c r="J5" s="123"/>
      <c r="K5" s="123"/>
      <c r="L5" s="123"/>
      <c r="M5" s="123"/>
      <c r="N5" s="123"/>
      <c r="O5" s="123"/>
      <c r="P5" s="123"/>
      <c r="Q5" s="123"/>
      <c r="R5" s="123"/>
      <c r="S5" s="123"/>
      <c r="T5" s="123"/>
      <c r="U5" s="121"/>
      <c r="V5" s="121"/>
      <c r="W5" s="121"/>
    </row>
    <row r="6" spans="3:24" x14ac:dyDescent="0.3">
      <c r="C6" s="135"/>
      <c r="D6" s="136" t="str">
        <f>MEDIDASESTADISTICAS!$D$6</f>
        <v>COCA COLA</v>
      </c>
      <c r="E6" s="105" t="s">
        <v>103</v>
      </c>
      <c r="F6" s="124"/>
      <c r="G6" s="124"/>
      <c r="H6" s="124"/>
      <c r="I6" s="124"/>
      <c r="J6" s="124"/>
      <c r="K6" s="124"/>
      <c r="L6" s="124"/>
      <c r="M6" s="124"/>
      <c r="N6" s="124"/>
      <c r="O6" s="124"/>
      <c r="P6" s="124"/>
      <c r="Q6" s="124"/>
      <c r="R6" s="124"/>
      <c r="S6" s="124"/>
      <c r="T6" s="124"/>
      <c r="U6" s="71"/>
      <c r="V6" s="71"/>
      <c r="W6" s="71"/>
    </row>
    <row r="7" spans="3:24" x14ac:dyDescent="0.3">
      <c r="C7" s="135"/>
      <c r="D7" s="136" t="str">
        <f>MEDIDASESTADISTICAS!$E$6</f>
        <v>STARBUCKS</v>
      </c>
      <c r="E7" s="140" t="s">
        <v>137</v>
      </c>
      <c r="F7" s="123"/>
      <c r="G7" s="123"/>
      <c r="H7" s="123"/>
      <c r="I7" s="123"/>
      <c r="J7" s="123"/>
      <c r="K7" s="123"/>
      <c r="L7" s="123"/>
      <c r="M7" s="123"/>
      <c r="N7" s="123"/>
      <c r="O7" s="123"/>
      <c r="P7" s="123"/>
      <c r="Q7" s="123"/>
      <c r="R7" s="123"/>
      <c r="S7" s="123"/>
      <c r="T7" s="123"/>
      <c r="U7" s="121"/>
      <c r="V7" s="121"/>
      <c r="W7" s="121"/>
    </row>
    <row r="8" spans="3:24" x14ac:dyDescent="0.3">
      <c r="C8" s="135"/>
      <c r="D8" s="136" t="str">
        <f>MEDIDASESTADISTICAS!$F$6</f>
        <v>WALMART</v>
      </c>
      <c r="E8" s="140" t="s">
        <v>92</v>
      </c>
      <c r="F8" s="123"/>
      <c r="G8" s="123"/>
      <c r="H8" s="123"/>
      <c r="I8" s="123"/>
      <c r="J8" s="123"/>
      <c r="K8" s="123"/>
      <c r="L8" s="123"/>
      <c r="M8" s="123"/>
      <c r="N8" s="123"/>
      <c r="O8" s="123"/>
      <c r="P8" s="123"/>
      <c r="Q8" s="123"/>
      <c r="R8" s="123"/>
      <c r="S8" s="123"/>
      <c r="T8" s="123"/>
      <c r="U8" s="121"/>
      <c r="V8" s="121"/>
      <c r="W8" s="121"/>
    </row>
    <row r="9" spans="3:24" x14ac:dyDescent="0.3">
      <c r="C9" s="135"/>
      <c r="D9" s="136" t="str">
        <f>MEDIDASESTADISTICAS!$G$6</f>
        <v>SPOTIFY</v>
      </c>
      <c r="E9" s="140" t="s">
        <v>104</v>
      </c>
      <c r="F9" s="123"/>
      <c r="G9" s="123"/>
      <c r="H9" s="123"/>
      <c r="I9" s="123"/>
      <c r="J9" s="123"/>
      <c r="K9" s="123"/>
      <c r="L9" s="123"/>
      <c r="M9" s="123"/>
      <c r="N9" s="123"/>
      <c r="O9" s="123"/>
      <c r="P9" s="123"/>
      <c r="Q9" s="123"/>
      <c r="R9" s="123"/>
      <c r="S9" s="123"/>
      <c r="T9" s="123"/>
      <c r="U9" s="121"/>
      <c r="V9" s="121"/>
      <c r="W9" s="121"/>
    </row>
    <row r="10" spans="3:24" x14ac:dyDescent="0.3">
      <c r="C10" s="135"/>
      <c r="D10" s="136" t="str">
        <f>MEDIDASESTADISTICAS!$H$6</f>
        <v>COPPEL</v>
      </c>
      <c r="E10" s="140" t="s">
        <v>105</v>
      </c>
      <c r="F10" s="123"/>
      <c r="G10" s="123"/>
      <c r="H10" s="123"/>
      <c r="I10" s="123"/>
      <c r="J10" s="123"/>
      <c r="K10" s="123"/>
      <c r="L10" s="123"/>
      <c r="M10" s="123"/>
      <c r="N10" s="123"/>
      <c r="O10" s="123"/>
      <c r="P10" s="123"/>
      <c r="Q10" s="123"/>
      <c r="R10" s="123"/>
      <c r="S10" s="123"/>
      <c r="T10" s="123"/>
      <c r="U10" s="121"/>
      <c r="V10" s="121"/>
      <c r="W10" s="121"/>
    </row>
    <row r="11" spans="3:24" x14ac:dyDescent="0.3">
      <c r="C11" s="135"/>
      <c r="D11" s="136" t="str">
        <f>MEDIDASESTADISTICAS!$I$6</f>
        <v>KRISPY KREME</v>
      </c>
      <c r="E11" s="105" t="s">
        <v>93</v>
      </c>
      <c r="F11" s="124"/>
      <c r="G11" s="124"/>
      <c r="H11" s="124"/>
      <c r="I11" s="124"/>
      <c r="J11" s="124"/>
      <c r="K11" s="124"/>
      <c r="L11" s="124"/>
      <c r="M11" s="124"/>
      <c r="N11" s="124"/>
      <c r="O11" s="124"/>
      <c r="P11" s="124"/>
      <c r="Q11" s="124"/>
      <c r="R11" s="124"/>
      <c r="S11" s="124"/>
      <c r="T11" s="124"/>
      <c r="U11" s="71"/>
      <c r="V11" s="71"/>
      <c r="W11" s="71"/>
    </row>
    <row r="12" spans="3:24" x14ac:dyDescent="0.3">
      <c r="C12" s="135"/>
      <c r="D12" s="136" t="str">
        <f>MEDIDASESTADISTICAS!$J$6</f>
        <v>COLGATE</v>
      </c>
      <c r="E12" s="105" t="s">
        <v>106</v>
      </c>
      <c r="F12" s="124"/>
      <c r="G12" s="124"/>
      <c r="H12" s="124"/>
      <c r="I12" s="124"/>
      <c r="J12" s="124"/>
      <c r="K12" s="124"/>
      <c r="L12" s="124"/>
      <c r="M12" s="124"/>
      <c r="N12" s="124"/>
      <c r="O12" s="124"/>
      <c r="P12" s="124"/>
      <c r="Q12" s="124"/>
      <c r="R12" s="124"/>
      <c r="S12" s="124"/>
      <c r="T12" s="124"/>
      <c r="U12" s="71"/>
      <c r="V12" s="71"/>
      <c r="W12" s="71"/>
    </row>
    <row r="13" spans="3:24" x14ac:dyDescent="0.3">
      <c r="C13" s="135"/>
      <c r="D13" s="136" t="str">
        <f>MEDIDASESTADISTICAS!$K$6</f>
        <v>GAMESA</v>
      </c>
      <c r="E13" s="141" t="s">
        <v>129</v>
      </c>
      <c r="F13" s="123"/>
      <c r="G13" s="123"/>
      <c r="H13" s="123"/>
      <c r="I13" s="123"/>
      <c r="J13" s="123"/>
      <c r="K13" s="123"/>
      <c r="L13" s="123"/>
      <c r="M13" s="123"/>
      <c r="N13" s="123"/>
      <c r="O13" s="123"/>
      <c r="P13" s="123"/>
      <c r="Q13" s="123"/>
      <c r="R13" s="123"/>
      <c r="S13" s="123"/>
      <c r="T13" s="123"/>
      <c r="U13" s="121"/>
      <c r="V13" s="121"/>
      <c r="W13" s="121"/>
    </row>
    <row r="14" spans="3:24" x14ac:dyDescent="0.25">
      <c r="C14" s="135"/>
      <c r="D14" s="135"/>
      <c r="E14" s="135"/>
      <c r="F14" s="135"/>
      <c r="G14" s="135"/>
      <c r="H14" s="135"/>
      <c r="I14" s="135"/>
      <c r="J14" s="135"/>
      <c r="K14" s="135"/>
      <c r="L14" s="135"/>
      <c r="M14" s="135"/>
      <c r="N14" s="135"/>
      <c r="O14" s="135"/>
      <c r="P14" s="135"/>
      <c r="Q14" s="135"/>
      <c r="R14" s="135"/>
      <c r="S14" s="135"/>
      <c r="T14" s="135"/>
    </row>
    <row r="15" spans="3:24" x14ac:dyDescent="0.25">
      <c r="C15" s="135"/>
      <c r="D15" s="135" t="s">
        <v>132</v>
      </c>
      <c r="E15" s="137">
        <f>MENU!$D$3</f>
        <v>10000000000</v>
      </c>
      <c r="F15" s="135"/>
      <c r="G15" s="135"/>
      <c r="H15" s="135"/>
      <c r="I15" s="135"/>
      <c r="J15" s="135"/>
      <c r="K15" s="135"/>
      <c r="L15" s="135"/>
      <c r="M15" s="135"/>
      <c r="N15" s="135"/>
      <c r="O15" s="135"/>
      <c r="P15" s="135"/>
      <c r="Q15" s="135"/>
      <c r="R15" s="135"/>
      <c r="S15" s="135"/>
      <c r="T15" s="135"/>
    </row>
    <row r="16" spans="3:24" x14ac:dyDescent="0.25">
      <c r="C16" s="135"/>
      <c r="D16" s="135"/>
      <c r="E16" s="135"/>
      <c r="F16" s="135"/>
      <c r="G16" s="135"/>
      <c r="H16" s="135"/>
      <c r="I16" s="135"/>
      <c r="J16" s="135"/>
      <c r="K16" s="135"/>
      <c r="L16" s="135"/>
      <c r="M16" s="135"/>
      <c r="N16" s="135"/>
      <c r="O16" s="135"/>
      <c r="P16" s="135"/>
      <c r="Q16" s="135"/>
      <c r="R16" s="135"/>
      <c r="S16" s="135"/>
      <c r="T16" s="135"/>
    </row>
    <row r="17" spans="3:23" x14ac:dyDescent="0.25">
      <c r="C17" s="135"/>
      <c r="D17" s="124" t="s">
        <v>138</v>
      </c>
      <c r="E17" s="124"/>
      <c r="F17" s="124"/>
      <c r="G17" s="124"/>
      <c r="H17" s="124"/>
      <c r="I17" s="124"/>
      <c r="J17" s="124"/>
      <c r="K17" s="124"/>
      <c r="L17" s="124"/>
      <c r="M17" s="124"/>
      <c r="N17" s="124"/>
      <c r="O17" s="124"/>
      <c r="P17" s="124"/>
      <c r="Q17" s="124"/>
      <c r="R17" s="124"/>
      <c r="S17" s="124"/>
      <c r="T17" s="124"/>
      <c r="U17" s="107"/>
      <c r="V17" s="107"/>
      <c r="W17" s="107"/>
    </row>
    <row r="18" spans="3:23" x14ac:dyDescent="0.25">
      <c r="C18" s="135"/>
      <c r="D18" s="108" t="str">
        <f>MINIMORIESGO!L13</f>
        <v>EMPRESAS</v>
      </c>
      <c r="E18" s="108" t="str">
        <f>MINIMORIESGO!M13</f>
        <v>PORCENTAJE</v>
      </c>
      <c r="F18" s="108" t="str">
        <f>MINIMORIESGO!N13</f>
        <v>MONTO</v>
      </c>
      <c r="G18" s="135"/>
      <c r="H18" s="135"/>
      <c r="I18" s="135"/>
      <c r="J18" s="135"/>
      <c r="K18" s="135"/>
      <c r="L18" s="135"/>
      <c r="M18" s="135"/>
      <c r="N18" s="135"/>
      <c r="O18" s="135"/>
      <c r="P18" s="135"/>
      <c r="Q18" s="135"/>
      <c r="R18" s="135"/>
      <c r="S18" s="135"/>
      <c r="T18" s="135"/>
    </row>
    <row r="19" spans="3:23" x14ac:dyDescent="0.25">
      <c r="C19" s="135"/>
      <c r="D19" s="109" t="str">
        <f>MEDIDASESTADISTICAS!$B$6</f>
        <v>BIMBO</v>
      </c>
      <c r="E19" s="110">
        <f>MINIMORIESGO!M14</f>
        <v>2.9085964029620593E-2</v>
      </c>
      <c r="F19" s="111">
        <f>MINIMORIESGO!N14</f>
        <v>290859640.29620594</v>
      </c>
      <c r="G19" s="135"/>
      <c r="H19" s="136" t="s">
        <v>133</v>
      </c>
      <c r="I19" s="138">
        <f>MINIMORIESGO!$B$29</f>
        <v>0.11931623930574205</v>
      </c>
      <c r="J19" s="135"/>
      <c r="K19" s="135"/>
      <c r="L19" s="135"/>
      <c r="M19" s="135"/>
      <c r="N19" s="135"/>
      <c r="O19" s="135"/>
      <c r="P19" s="135"/>
      <c r="Q19" s="135"/>
      <c r="R19" s="135"/>
      <c r="S19" s="135"/>
      <c r="T19" s="135"/>
    </row>
    <row r="20" spans="3:23" x14ac:dyDescent="0.25">
      <c r="C20" s="135"/>
      <c r="D20" s="112" t="str">
        <f>MEDIDASESTADISTICAS!$C$6</f>
        <v>SONY</v>
      </c>
      <c r="E20" s="113">
        <f>MINIMORIESGO!M15</f>
        <v>3.3057121047331268E-3</v>
      </c>
      <c r="F20" s="114">
        <f>MINIMORIESGO!N15</f>
        <v>33057121.04733127</v>
      </c>
      <c r="G20" s="135"/>
      <c r="H20" s="136" t="s">
        <v>134</v>
      </c>
      <c r="I20" s="138">
        <f>MINIMORIESGO!$B$28</f>
        <v>3.6819805471727616E-3</v>
      </c>
      <c r="J20" s="135"/>
      <c r="K20" s="135"/>
      <c r="L20" s="135"/>
      <c r="M20" s="135"/>
      <c r="N20" s="135"/>
      <c r="O20" s="135"/>
      <c r="P20" s="135"/>
      <c r="Q20" s="135"/>
      <c r="R20" s="135"/>
      <c r="S20" s="135"/>
      <c r="T20" s="135"/>
    </row>
    <row r="21" spans="3:23" x14ac:dyDescent="0.25">
      <c r="C21" s="135"/>
      <c r="D21" s="109" t="str">
        <f>MEDIDASESTADISTICAS!$D$6</f>
        <v>COCA COLA</v>
      </c>
      <c r="E21" s="110">
        <f>MINIMORIESGO!M16</f>
        <v>1.2395473832765177E-5</v>
      </c>
      <c r="F21" s="111">
        <f>MINIMORIESGO!N16</f>
        <v>123954.73832765176</v>
      </c>
      <c r="G21" s="135"/>
      <c r="H21" s="136" t="s">
        <v>135</v>
      </c>
      <c r="I21" s="138">
        <f>MINIMORIESGO!$B$26</f>
        <v>4.3932007208555225E-4</v>
      </c>
      <c r="J21" s="135"/>
      <c r="K21" s="135"/>
      <c r="L21" s="135"/>
      <c r="M21" s="135"/>
      <c r="N21" s="135"/>
      <c r="O21" s="135"/>
      <c r="P21" s="135"/>
      <c r="Q21" s="135"/>
      <c r="R21" s="135"/>
      <c r="S21" s="135"/>
      <c r="T21" s="135"/>
    </row>
    <row r="22" spans="3:23" x14ac:dyDescent="0.25">
      <c r="C22" s="135"/>
      <c r="D22" s="112" t="str">
        <f>MEDIDASESTADISTICAS!$E$6</f>
        <v>STARBUCKS</v>
      </c>
      <c r="E22" s="113">
        <f>MINIMORIESGO!M17</f>
        <v>3.5015266179388542E-2</v>
      </c>
      <c r="F22" s="114">
        <f>MINIMORIESGO!N17</f>
        <v>350152661.79388541</v>
      </c>
      <c r="G22" s="135"/>
      <c r="H22" s="135"/>
      <c r="I22" s="135"/>
      <c r="J22" s="135"/>
      <c r="K22" s="135"/>
      <c r="L22" s="135"/>
      <c r="M22" s="135"/>
      <c r="N22" s="135"/>
      <c r="O22" s="135"/>
      <c r="P22" s="135"/>
      <c r="Q22" s="135"/>
      <c r="R22" s="135"/>
      <c r="S22" s="135"/>
      <c r="T22" s="135"/>
    </row>
    <row r="23" spans="3:23" x14ac:dyDescent="0.25">
      <c r="C23" s="135"/>
      <c r="D23" s="109" t="str">
        <f>MEDIDASESTADISTICAS!$F$6</f>
        <v>WALMART</v>
      </c>
      <c r="E23" s="110">
        <f>MINIMORIESGO!M18</f>
        <v>2.4466916074344282E-2</v>
      </c>
      <c r="F23" s="111">
        <f>MINIMORIESGO!N18</f>
        <v>244669160.74344283</v>
      </c>
      <c r="G23" s="135"/>
      <c r="H23" s="135"/>
      <c r="I23" s="135"/>
      <c r="J23" s="135"/>
      <c r="K23" s="135"/>
      <c r="L23" s="135"/>
      <c r="M23" s="135"/>
      <c r="N23" s="135"/>
      <c r="O23" s="135"/>
      <c r="P23" s="135"/>
      <c r="Q23" s="135"/>
      <c r="R23" s="135"/>
      <c r="S23" s="135"/>
      <c r="T23" s="135"/>
    </row>
    <row r="24" spans="3:23" x14ac:dyDescent="0.25">
      <c r="C24" s="135"/>
      <c r="D24" s="112" t="str">
        <f>MEDIDASESTADISTICAS!$G$6</f>
        <v>SPOTIFY</v>
      </c>
      <c r="E24" s="113">
        <f>MINIMORIESGO!M19</f>
        <v>5.9395832767169627E-3</v>
      </c>
      <c r="F24" s="114">
        <f>MINIMORIESGO!N19</f>
        <v>59395832.767169625</v>
      </c>
      <c r="G24" s="135"/>
      <c r="H24" s="135"/>
      <c r="I24" s="135"/>
      <c r="J24" s="135"/>
      <c r="K24" s="135"/>
      <c r="L24" s="135"/>
      <c r="M24" s="135"/>
      <c r="N24" s="135"/>
      <c r="O24" s="135"/>
      <c r="P24" s="135"/>
      <c r="Q24" s="135"/>
      <c r="R24" s="135"/>
      <c r="S24" s="135"/>
      <c r="T24" s="135"/>
    </row>
    <row r="25" spans="3:23" x14ac:dyDescent="0.25">
      <c r="C25" s="135"/>
      <c r="D25" s="109" t="str">
        <f>MEDIDASESTADISTICAS!$H$6</f>
        <v>COPPEL</v>
      </c>
      <c r="E25" s="110">
        <f>MINIMORIESGO!M20</f>
        <v>0.78097571761730855</v>
      </c>
      <c r="F25" s="111">
        <f>MINIMORIESGO!N20</f>
        <v>7809757176.1730852</v>
      </c>
      <c r="G25" s="135"/>
      <c r="H25" s="135"/>
      <c r="I25" s="135"/>
      <c r="J25" s="135"/>
      <c r="K25" s="135"/>
      <c r="L25" s="135"/>
      <c r="M25" s="135"/>
      <c r="N25" s="135"/>
      <c r="O25" s="135"/>
      <c r="P25" s="135"/>
      <c r="Q25" s="135"/>
      <c r="R25" s="135"/>
      <c r="S25" s="135"/>
      <c r="T25" s="135"/>
    </row>
    <row r="26" spans="3:23" x14ac:dyDescent="0.25">
      <c r="C26" s="135"/>
      <c r="D26" s="112" t="str">
        <f>MEDIDASESTADISTICAS!$I$6</f>
        <v>KRISPY KREME</v>
      </c>
      <c r="E26" s="113">
        <f>MINIMORIESGO!M21</f>
        <v>3.9153304707263664E-2</v>
      </c>
      <c r="F26" s="114">
        <f>MINIMORIESGO!N21</f>
        <v>391533047.07263666</v>
      </c>
      <c r="G26" s="135"/>
      <c r="H26" s="135"/>
      <c r="I26" s="135"/>
      <c r="J26" s="135"/>
      <c r="K26" s="135"/>
      <c r="L26" s="135"/>
      <c r="M26" s="135"/>
      <c r="N26" s="135"/>
      <c r="O26" s="135"/>
      <c r="P26" s="135"/>
      <c r="Q26" s="135"/>
      <c r="R26" s="135"/>
      <c r="S26" s="135"/>
      <c r="T26" s="135"/>
    </row>
    <row r="27" spans="3:23" x14ac:dyDescent="0.25">
      <c r="C27" s="135"/>
      <c r="D27" s="109" t="str">
        <f>MEDIDASESTADISTICAS!$J$6</f>
        <v>COLGATE</v>
      </c>
      <c r="E27" s="110">
        <f>MINIMORIESGO!M22</f>
        <v>8.1859510302048411E-2</v>
      </c>
      <c r="F27" s="111">
        <f>MINIMORIESGO!N22</f>
        <v>818595103.02048409</v>
      </c>
      <c r="G27" s="135"/>
      <c r="H27" s="135"/>
      <c r="I27" s="135"/>
      <c r="J27" s="135"/>
      <c r="K27" s="135"/>
      <c r="L27" s="135"/>
      <c r="M27" s="135"/>
      <c r="N27" s="135"/>
      <c r="O27" s="135"/>
      <c r="P27" s="135"/>
      <c r="Q27" s="135"/>
      <c r="R27" s="135"/>
      <c r="S27" s="135"/>
      <c r="T27" s="135"/>
    </row>
    <row r="28" spans="3:23" ht="20.25" thickBot="1" x14ac:dyDescent="0.3">
      <c r="C28" s="135"/>
      <c r="D28" s="125" t="str">
        <f>MEDIDASESTADISTICAS!$K$6</f>
        <v>GAMESA</v>
      </c>
      <c r="E28" s="126">
        <f>MINIMORIESGO!M23</f>
        <v>1.8563330956099486E-4</v>
      </c>
      <c r="F28" s="127">
        <f>MINIMORIESGO!N23</f>
        <v>1856333.0956099485</v>
      </c>
      <c r="G28" s="135"/>
      <c r="H28" s="135"/>
      <c r="I28" s="135"/>
      <c r="J28" s="135"/>
      <c r="K28" s="135"/>
      <c r="L28" s="135"/>
      <c r="M28" s="135"/>
      <c r="N28" s="135"/>
      <c r="O28" s="135"/>
      <c r="P28" s="135"/>
      <c r="Q28" s="135"/>
      <c r="R28" s="135"/>
      <c r="S28" s="135"/>
      <c r="T28" s="135"/>
    </row>
    <row r="29" spans="3:23" ht="20.25" thickBot="1" x14ac:dyDescent="0.3">
      <c r="C29" s="135"/>
      <c r="D29" s="128" t="str">
        <f>MINIMORIESGO!L24</f>
        <v>TOTAL</v>
      </c>
      <c r="E29" s="129">
        <f>MINIMORIESGO!M24</f>
        <v>1.0000000030748177</v>
      </c>
      <c r="F29" s="130">
        <f>MINIMORIESGO!N24</f>
        <v>10000000030.74818</v>
      </c>
      <c r="G29" s="135"/>
      <c r="H29" s="135"/>
      <c r="I29" s="135"/>
      <c r="J29" s="135"/>
      <c r="K29" s="135"/>
      <c r="L29" s="135"/>
      <c r="M29" s="135"/>
      <c r="N29" s="135"/>
      <c r="O29" s="135"/>
      <c r="P29" s="135"/>
      <c r="Q29" s="135"/>
      <c r="R29" s="135"/>
      <c r="S29" s="135"/>
      <c r="T29" s="135"/>
    </row>
    <row r="30" spans="3:23" x14ac:dyDescent="0.25">
      <c r="C30" s="135"/>
      <c r="D30" s="135"/>
      <c r="E30" s="135"/>
      <c r="F30" s="135"/>
      <c r="G30" s="135"/>
      <c r="H30" s="135"/>
      <c r="I30" s="135"/>
      <c r="J30" s="135"/>
      <c r="K30" s="135"/>
      <c r="L30" s="135"/>
      <c r="M30" s="135"/>
      <c r="N30" s="135"/>
      <c r="O30" s="135"/>
      <c r="P30" s="135"/>
      <c r="Q30" s="135"/>
      <c r="R30" s="135"/>
      <c r="S30" s="135"/>
      <c r="T30" s="135"/>
    </row>
    <row r="31" spans="3:23" x14ac:dyDescent="0.25">
      <c r="C31" s="135"/>
      <c r="D31" s="135"/>
      <c r="E31" s="135"/>
      <c r="F31" s="135"/>
      <c r="G31" s="135"/>
      <c r="H31" s="135"/>
      <c r="I31" s="135"/>
      <c r="J31" s="135"/>
      <c r="K31" s="135"/>
      <c r="L31" s="135"/>
      <c r="M31" s="135"/>
      <c r="N31" s="135"/>
      <c r="O31" s="135"/>
      <c r="P31" s="135"/>
      <c r="Q31" s="135"/>
      <c r="R31" s="135"/>
      <c r="S31" s="135"/>
      <c r="T31" s="135"/>
    </row>
    <row r="32" spans="3:23" x14ac:dyDescent="0.25">
      <c r="C32" s="135"/>
      <c r="D32" s="139" t="s">
        <v>139</v>
      </c>
      <c r="E32" s="135"/>
      <c r="F32" s="135"/>
      <c r="G32" s="135"/>
      <c r="H32" s="135"/>
      <c r="I32" s="135"/>
      <c r="J32" s="135"/>
      <c r="K32" s="135"/>
      <c r="L32" s="135"/>
      <c r="M32" s="135"/>
      <c r="N32" s="135"/>
      <c r="O32" s="135"/>
      <c r="P32" s="135"/>
      <c r="Q32" s="135"/>
      <c r="R32" s="135"/>
      <c r="S32" s="135"/>
      <c r="T32" s="135"/>
    </row>
    <row r="33" spans="3:20" x14ac:dyDescent="0.25">
      <c r="C33" s="135"/>
      <c r="D33" s="108" t="str">
        <f>MAXIMARENTABILIDAD!L13</f>
        <v>EMPRESAS</v>
      </c>
      <c r="E33" s="108" t="str">
        <f>MAXIMARENTABILIDAD!M13</f>
        <v>PORCENTAJE</v>
      </c>
      <c r="F33" s="108" t="str">
        <f>MAXIMARENTABILIDAD!N13</f>
        <v>MONTO</v>
      </c>
      <c r="G33" s="135"/>
      <c r="H33" s="135"/>
      <c r="I33" s="135"/>
      <c r="J33" s="135"/>
      <c r="K33" s="135"/>
      <c r="L33" s="135"/>
      <c r="M33" s="135"/>
      <c r="N33" s="135"/>
      <c r="O33" s="135"/>
      <c r="P33" s="135"/>
      <c r="Q33" s="135"/>
      <c r="R33" s="135"/>
      <c r="S33" s="135"/>
      <c r="T33" s="135"/>
    </row>
    <row r="34" spans="3:20" x14ac:dyDescent="0.25">
      <c r="C34" s="135"/>
      <c r="D34" s="109" t="str">
        <f>MAXIMARENTABILIDAD!L14</f>
        <v>BIMBO</v>
      </c>
      <c r="E34" s="110">
        <f>MAXIMARENTABILIDAD!M14</f>
        <v>9.5906828172599989E-2</v>
      </c>
      <c r="F34" s="111">
        <f>MAXIMARENTABILIDAD!N14</f>
        <v>959068281.72599995</v>
      </c>
      <c r="G34" s="135"/>
      <c r="H34" s="136" t="s">
        <v>133</v>
      </c>
      <c r="I34" s="138">
        <f>MAXIMARENTABILIDAD!$B$29</f>
        <v>0.19403954727751399</v>
      </c>
      <c r="J34" s="135"/>
      <c r="K34" s="135"/>
      <c r="L34" s="135"/>
      <c r="M34" s="135"/>
      <c r="N34" s="135"/>
      <c r="O34" s="135"/>
      <c r="P34" s="135"/>
      <c r="Q34" s="135"/>
      <c r="R34" s="135"/>
      <c r="S34" s="135"/>
      <c r="T34" s="135"/>
    </row>
    <row r="35" spans="3:20" x14ac:dyDescent="0.25">
      <c r="C35" s="135"/>
      <c r="D35" s="112" t="str">
        <f>MAXIMARENTABILIDAD!L15</f>
        <v>SONY</v>
      </c>
      <c r="E35" s="113">
        <f>MAXIMARENTABILIDAD!M15</f>
        <v>1.8086927763170824E-2</v>
      </c>
      <c r="F35" s="114">
        <f>MAXIMARENTABILIDAD!N15</f>
        <v>180869277.63170823</v>
      </c>
      <c r="G35" s="135"/>
      <c r="H35" s="136" t="s">
        <v>134</v>
      </c>
      <c r="I35" s="138">
        <f>MAXIMARENTABILIDAD!$B$28</f>
        <v>5.9860955650291852E-3</v>
      </c>
      <c r="J35" s="135"/>
      <c r="K35" s="135"/>
      <c r="L35" s="135"/>
      <c r="M35" s="135"/>
      <c r="N35" s="135"/>
      <c r="O35" s="135"/>
      <c r="P35" s="135"/>
      <c r="Q35" s="135"/>
      <c r="R35" s="135"/>
      <c r="S35" s="135"/>
      <c r="T35" s="135"/>
    </row>
    <row r="36" spans="3:20" x14ac:dyDescent="0.25">
      <c r="C36" s="135"/>
      <c r="D36" s="109" t="str">
        <f>MAXIMARENTABILIDAD!L16</f>
        <v>COCA COLA</v>
      </c>
      <c r="E36" s="110">
        <f>MAXIMARENTABILIDAD!M16</f>
        <v>9.1765047975104412E-5</v>
      </c>
      <c r="F36" s="111">
        <f>MAXIMARENTABILIDAD!N16</f>
        <v>917650.47975104407</v>
      </c>
      <c r="G36" s="135"/>
      <c r="H36" s="136" t="s">
        <v>135</v>
      </c>
      <c r="I36" s="138">
        <f>MAXIMARENTABILIDAD!$B$26</f>
        <v>1.1615392733981974E-3</v>
      </c>
      <c r="J36" s="135"/>
      <c r="K36" s="135"/>
      <c r="L36" s="135"/>
      <c r="M36" s="135"/>
      <c r="N36" s="135"/>
      <c r="O36" s="135"/>
      <c r="P36" s="135"/>
      <c r="Q36" s="135"/>
      <c r="R36" s="135"/>
      <c r="S36" s="135"/>
      <c r="T36" s="135"/>
    </row>
    <row r="37" spans="3:20" x14ac:dyDescent="0.25">
      <c r="C37" s="135"/>
      <c r="D37" s="112" t="str">
        <f>MAXIMARENTABILIDAD!L17</f>
        <v>STARBUCKS</v>
      </c>
      <c r="E37" s="113">
        <f>MAXIMARENTABILIDAD!M17</f>
        <v>8.5257404041197887E-2</v>
      </c>
      <c r="F37" s="114">
        <f>MAXIMARENTABILIDAD!N17</f>
        <v>852574040.41197884</v>
      </c>
      <c r="G37" s="135"/>
      <c r="H37" s="135"/>
      <c r="I37" s="135"/>
      <c r="J37" s="135"/>
      <c r="K37" s="135"/>
      <c r="L37" s="135"/>
      <c r="M37" s="135"/>
      <c r="N37" s="135"/>
      <c r="O37" s="135"/>
      <c r="P37" s="135"/>
      <c r="Q37" s="135"/>
      <c r="R37" s="135"/>
      <c r="S37" s="135"/>
      <c r="T37" s="135"/>
    </row>
    <row r="38" spans="3:20" x14ac:dyDescent="0.25">
      <c r="C38" s="135"/>
      <c r="D38" s="109" t="str">
        <f>MAXIMARENTABILIDAD!L18</f>
        <v>WALMART</v>
      </c>
      <c r="E38" s="110">
        <f>MAXIMARENTABILIDAD!M18</f>
        <v>4.4613067200997655E-2</v>
      </c>
      <c r="F38" s="111">
        <f>MAXIMARENTABILIDAD!N18</f>
        <v>446130672.00997657</v>
      </c>
      <c r="G38" s="135"/>
      <c r="H38" s="135"/>
      <c r="I38" s="135"/>
      <c r="J38" s="135"/>
      <c r="K38" s="135"/>
      <c r="L38" s="135"/>
      <c r="M38" s="135"/>
      <c r="N38" s="135"/>
      <c r="O38" s="135"/>
      <c r="P38" s="135"/>
      <c r="Q38" s="135"/>
      <c r="R38" s="135"/>
      <c r="S38" s="135"/>
      <c r="T38" s="135"/>
    </row>
    <row r="39" spans="3:20" x14ac:dyDescent="0.25">
      <c r="C39" s="135"/>
      <c r="D39" s="112" t="str">
        <f>MAXIMARENTABILIDAD!L19</f>
        <v>SPOTIFY</v>
      </c>
      <c r="E39" s="113">
        <f>MAXIMARENTABILIDAD!M19</f>
        <v>1.1998969496989458E-2</v>
      </c>
      <c r="F39" s="114">
        <f>MAXIMARENTABILIDAD!N19</f>
        <v>119989694.96989459</v>
      </c>
      <c r="G39" s="135"/>
      <c r="H39" s="135"/>
      <c r="I39" s="135"/>
      <c r="J39" s="135"/>
      <c r="K39" s="135"/>
      <c r="L39" s="135"/>
      <c r="M39" s="135"/>
      <c r="N39" s="135"/>
      <c r="O39" s="135"/>
      <c r="P39" s="135"/>
      <c r="Q39" s="135"/>
      <c r="R39" s="135"/>
      <c r="S39" s="135"/>
      <c r="T39" s="135"/>
    </row>
    <row r="40" spans="3:20" x14ac:dyDescent="0.25">
      <c r="C40" s="135"/>
      <c r="D40" s="109" t="str">
        <f>MAXIMARENTABILIDAD!L20</f>
        <v>COPPEL</v>
      </c>
      <c r="E40" s="110">
        <f>MAXIMARENTABILIDAD!M20</f>
        <v>0.56759791446865526</v>
      </c>
      <c r="F40" s="111">
        <f>MAXIMARENTABILIDAD!N20</f>
        <v>5675979144.686553</v>
      </c>
      <c r="G40" s="135"/>
      <c r="H40" s="135"/>
      <c r="I40" s="135"/>
      <c r="J40" s="135"/>
      <c r="K40" s="135"/>
      <c r="L40" s="135"/>
      <c r="M40" s="135"/>
      <c r="N40" s="135"/>
      <c r="O40" s="135"/>
      <c r="P40" s="135"/>
      <c r="Q40" s="135"/>
      <c r="R40" s="135"/>
      <c r="S40" s="135"/>
      <c r="T40" s="135"/>
    </row>
    <row r="41" spans="3:20" x14ac:dyDescent="0.25">
      <c r="C41" s="135"/>
      <c r="D41" s="112" t="str">
        <f>MAXIMARENTABILIDAD!L21</f>
        <v>KRISPY KREME</v>
      </c>
      <c r="E41" s="113">
        <f>MAXIMARENTABILIDAD!M21</f>
        <v>0.10209754838734199</v>
      </c>
      <c r="F41" s="114">
        <f>MAXIMARENTABILIDAD!N21</f>
        <v>1020975483.8734199</v>
      </c>
      <c r="G41" s="135"/>
      <c r="H41" s="135"/>
      <c r="I41" s="135"/>
      <c r="J41" s="135"/>
      <c r="K41" s="135"/>
      <c r="L41" s="135"/>
      <c r="M41" s="135"/>
      <c r="N41" s="135"/>
      <c r="O41" s="135"/>
      <c r="P41" s="135"/>
      <c r="Q41" s="135"/>
      <c r="R41" s="135"/>
      <c r="S41" s="135"/>
      <c r="T41" s="135"/>
    </row>
    <row r="42" spans="3:20" x14ac:dyDescent="0.25">
      <c r="C42" s="135"/>
      <c r="D42" s="109" t="str">
        <f>MAXIMARENTABILIDAD!L22</f>
        <v>COLGATE</v>
      </c>
      <c r="E42" s="110">
        <f>MAXIMARENTABILIDAD!M22</f>
        <v>7.1123733726117633E-2</v>
      </c>
      <c r="F42" s="111">
        <f>MAXIMARENTABILIDAD!N22</f>
        <v>711237337.26117635</v>
      </c>
      <c r="G42" s="135"/>
      <c r="H42" s="135"/>
      <c r="I42" s="135"/>
      <c r="J42" s="135"/>
      <c r="K42" s="135"/>
      <c r="L42" s="135"/>
      <c r="M42" s="135"/>
      <c r="N42" s="135"/>
      <c r="O42" s="135"/>
      <c r="P42" s="135"/>
      <c r="Q42" s="135"/>
      <c r="R42" s="135"/>
      <c r="S42" s="135"/>
      <c r="T42" s="135"/>
    </row>
    <row r="43" spans="3:20" ht="20.25" thickBot="1" x14ac:dyDescent="0.3">
      <c r="C43" s="135"/>
      <c r="D43" s="125" t="str">
        <f>MAXIMARENTABILIDAD!L23</f>
        <v>GAMESA</v>
      </c>
      <c r="E43" s="126">
        <f>MAXIMARENTABILIDAD!M23</f>
        <v>3.2258361459992003E-3</v>
      </c>
      <c r="F43" s="127">
        <f>MAXIMARENTABILIDAD!N23</f>
        <v>32258361.459992003</v>
      </c>
      <c r="G43" s="135"/>
      <c r="H43" s="135"/>
      <c r="I43" s="135"/>
      <c r="J43" s="135"/>
      <c r="K43" s="135"/>
      <c r="L43" s="135"/>
      <c r="M43" s="135"/>
      <c r="N43" s="135"/>
      <c r="O43" s="135"/>
      <c r="P43" s="135"/>
      <c r="Q43" s="135"/>
      <c r="R43" s="135"/>
      <c r="S43" s="135"/>
      <c r="T43" s="135"/>
    </row>
    <row r="44" spans="3:20" ht="20.25" thickBot="1" x14ac:dyDescent="0.3">
      <c r="C44" s="135"/>
      <c r="D44" s="128" t="str">
        <f>MAXIMARENTABILIDAD!L24</f>
        <v>TOTAL</v>
      </c>
      <c r="E44" s="129">
        <f>MAXIMARENTABILIDAD!M24</f>
        <v>0.99999999445104504</v>
      </c>
      <c r="F44" s="130">
        <f>MAXIMARENTABILIDAD!N24</f>
        <v>9999999944.5104504</v>
      </c>
      <c r="G44" s="135"/>
      <c r="H44" s="135"/>
      <c r="I44" s="135"/>
      <c r="J44" s="135"/>
      <c r="K44" s="135"/>
      <c r="L44" s="135"/>
      <c r="M44" s="135"/>
      <c r="N44" s="135"/>
      <c r="O44" s="135"/>
      <c r="P44" s="135"/>
      <c r="Q44" s="135"/>
      <c r="R44" s="135"/>
      <c r="S44" s="135"/>
      <c r="T44" s="135"/>
    </row>
    <row r="45" spans="3:20" x14ac:dyDescent="0.25">
      <c r="C45" s="135"/>
      <c r="D45" s="135"/>
      <c r="E45" s="135"/>
      <c r="F45" s="135"/>
      <c r="G45" s="135"/>
      <c r="H45" s="135"/>
      <c r="I45" s="135"/>
      <c r="J45" s="135"/>
      <c r="K45" s="135"/>
      <c r="L45" s="135"/>
      <c r="M45" s="135"/>
      <c r="N45" s="135"/>
      <c r="O45" s="135"/>
      <c r="P45" s="135"/>
      <c r="Q45" s="135"/>
      <c r="R45" s="135"/>
      <c r="S45" s="135"/>
      <c r="T45" s="135"/>
    </row>
    <row r="46" spans="3:20" x14ac:dyDescent="0.25">
      <c r="C46" s="135"/>
      <c r="D46" s="139" t="s">
        <v>136</v>
      </c>
      <c r="E46" s="139"/>
      <c r="F46" s="139"/>
      <c r="G46" s="139"/>
      <c r="H46" s="139"/>
      <c r="I46" s="139"/>
      <c r="J46" s="139"/>
      <c r="K46" s="139"/>
      <c r="L46" s="135"/>
      <c r="M46" s="135"/>
      <c r="N46" s="135"/>
      <c r="O46" s="135"/>
      <c r="P46" s="135"/>
      <c r="Q46" s="135"/>
      <c r="R46" s="135"/>
      <c r="S46" s="135"/>
      <c r="T46" s="135"/>
    </row>
    <row r="47" spans="3:20" x14ac:dyDescent="0.25">
      <c r="C47" s="135"/>
      <c r="D47" s="108" t="str">
        <f>'PONDERACIONES IGUALES'!L12</f>
        <v>EMPRESAS</v>
      </c>
      <c r="E47" s="108" t="str">
        <f>'PONDERACIONES IGUALES'!M12</f>
        <v>PORCENTAJE</v>
      </c>
      <c r="F47" s="108" t="str">
        <f>'PONDERACIONES IGUALES'!N12</f>
        <v>MONTO</v>
      </c>
      <c r="G47" s="135"/>
      <c r="H47" s="135"/>
      <c r="I47" s="135"/>
      <c r="J47" s="135"/>
      <c r="K47" s="135"/>
      <c r="L47" s="135"/>
      <c r="M47" s="135"/>
      <c r="N47" s="135"/>
      <c r="O47" s="135"/>
      <c r="P47" s="135"/>
      <c r="Q47" s="135"/>
      <c r="R47" s="135"/>
      <c r="S47" s="135"/>
      <c r="T47" s="135"/>
    </row>
    <row r="48" spans="3:20" x14ac:dyDescent="0.25">
      <c r="C48" s="135"/>
      <c r="D48" s="109" t="str">
        <f>'PONDERACIONES IGUALES'!L13</f>
        <v>BIMBO</v>
      </c>
      <c r="E48" s="131">
        <f>'PONDERACIONES IGUALES'!M13</f>
        <v>0.1</v>
      </c>
      <c r="F48" s="111">
        <f>'PONDERACIONES IGUALES'!N13</f>
        <v>1000000000</v>
      </c>
      <c r="G48" s="135"/>
      <c r="H48" s="136" t="s">
        <v>133</v>
      </c>
      <c r="I48" s="138">
        <f>'PONDERACIONES IGUALES'!$B$28</f>
        <v>5.3599768311990342E-2</v>
      </c>
      <c r="J48" s="135"/>
      <c r="K48" s="135"/>
      <c r="L48" s="135"/>
      <c r="M48" s="135"/>
      <c r="N48" s="135"/>
      <c r="O48" s="135"/>
      <c r="P48" s="135"/>
      <c r="Q48" s="135"/>
      <c r="R48" s="135"/>
      <c r="S48" s="135"/>
      <c r="T48" s="135"/>
    </row>
    <row r="49" spans="3:20" x14ac:dyDescent="0.25">
      <c r="C49" s="135"/>
      <c r="D49" s="112" t="str">
        <f>'PONDERACIONES IGUALES'!L14</f>
        <v>SONY</v>
      </c>
      <c r="E49" s="132">
        <f>'PONDERACIONES IGUALES'!M14</f>
        <v>0.1</v>
      </c>
      <c r="F49" s="114">
        <f>'PONDERACIONES IGUALES'!N14</f>
        <v>1000000000</v>
      </c>
      <c r="G49" s="135"/>
      <c r="H49" s="136" t="s">
        <v>134</v>
      </c>
      <c r="I49" s="138">
        <f>'PONDERACIONES IGUALES'!$B$27</f>
        <v>1.6500016207848922</v>
      </c>
      <c r="J49" s="135"/>
      <c r="K49" s="135"/>
      <c r="L49" s="135"/>
      <c r="M49" s="135"/>
      <c r="N49" s="135"/>
      <c r="O49" s="135"/>
      <c r="P49" s="135"/>
      <c r="Q49" s="135"/>
      <c r="R49" s="135"/>
      <c r="S49" s="135"/>
      <c r="T49" s="135"/>
    </row>
    <row r="50" spans="3:20" x14ac:dyDescent="0.25">
      <c r="C50" s="135"/>
      <c r="D50" s="109" t="str">
        <f>'PONDERACIONES IGUALES'!L15</f>
        <v>COCA COLA</v>
      </c>
      <c r="E50" s="131">
        <f>'PONDERACIONES IGUALES'!M15</f>
        <v>0.1</v>
      </c>
      <c r="F50" s="111">
        <f>'PONDERACIONES IGUALES'!N15</f>
        <v>1000000000</v>
      </c>
      <c r="G50" s="135"/>
      <c r="H50" s="136" t="s">
        <v>135</v>
      </c>
      <c r="I50" s="138">
        <f>'PONDERACIONES IGUALES'!$B$25</f>
        <v>8.8439704588478774E-2</v>
      </c>
      <c r="J50" s="135"/>
      <c r="K50" s="135"/>
      <c r="L50" s="135"/>
      <c r="M50" s="135"/>
      <c r="N50" s="135"/>
      <c r="O50" s="135"/>
      <c r="P50" s="135"/>
      <c r="Q50" s="135"/>
      <c r="R50" s="135"/>
      <c r="S50" s="135"/>
      <c r="T50" s="135"/>
    </row>
    <row r="51" spans="3:20" x14ac:dyDescent="0.25">
      <c r="C51" s="135"/>
      <c r="D51" s="112" t="str">
        <f>'PONDERACIONES IGUALES'!L16</f>
        <v>STARBUCKS</v>
      </c>
      <c r="E51" s="132">
        <f>'PONDERACIONES IGUALES'!M16</f>
        <v>0.1</v>
      </c>
      <c r="F51" s="114">
        <f>'PONDERACIONES IGUALES'!N16</f>
        <v>1000000000</v>
      </c>
      <c r="G51" s="135"/>
      <c r="H51" s="135"/>
      <c r="I51" s="135"/>
      <c r="J51" s="135"/>
      <c r="K51" s="135"/>
      <c r="L51" s="135"/>
      <c r="M51" s="135"/>
      <c r="N51" s="135"/>
      <c r="O51" s="135"/>
      <c r="P51" s="135"/>
      <c r="Q51" s="135"/>
      <c r="R51" s="135"/>
      <c r="S51" s="135"/>
      <c r="T51" s="135"/>
    </row>
    <row r="52" spans="3:20" x14ac:dyDescent="0.25">
      <c r="C52" s="135"/>
      <c r="D52" s="109" t="str">
        <f>'PONDERACIONES IGUALES'!L17</f>
        <v>WALMART</v>
      </c>
      <c r="E52" s="131">
        <f>'PONDERACIONES IGUALES'!M17</f>
        <v>0.1</v>
      </c>
      <c r="F52" s="111">
        <f>'PONDERACIONES IGUALES'!N17</f>
        <v>1000000000</v>
      </c>
      <c r="G52" s="135"/>
      <c r="H52" s="135"/>
      <c r="I52" s="135"/>
      <c r="J52" s="135"/>
      <c r="K52" s="135"/>
      <c r="L52" s="135"/>
      <c r="M52" s="135"/>
      <c r="N52" s="135"/>
      <c r="O52" s="135"/>
      <c r="P52" s="135"/>
      <c r="Q52" s="135"/>
      <c r="R52" s="135"/>
      <c r="S52" s="135"/>
      <c r="T52" s="135"/>
    </row>
    <row r="53" spans="3:20" x14ac:dyDescent="0.25">
      <c r="C53" s="135"/>
      <c r="D53" s="112" t="str">
        <f>'PONDERACIONES IGUALES'!L18</f>
        <v>SPOTIFY</v>
      </c>
      <c r="E53" s="132">
        <f>'PONDERACIONES IGUALES'!M18</f>
        <v>0.1</v>
      </c>
      <c r="F53" s="114">
        <f>'PONDERACIONES IGUALES'!N18</f>
        <v>1000000000</v>
      </c>
      <c r="G53" s="135"/>
      <c r="H53" s="135"/>
      <c r="I53" s="135"/>
      <c r="J53" s="135"/>
      <c r="K53" s="135"/>
      <c r="L53" s="135"/>
      <c r="M53" s="135"/>
      <c r="N53" s="135"/>
      <c r="O53" s="135"/>
      <c r="P53" s="135"/>
      <c r="Q53" s="135"/>
      <c r="R53" s="135"/>
      <c r="S53" s="135"/>
      <c r="T53" s="135"/>
    </row>
    <row r="54" spans="3:20" x14ac:dyDescent="0.25">
      <c r="C54" s="135"/>
      <c r="D54" s="109" t="str">
        <f>'PONDERACIONES IGUALES'!L19</f>
        <v>COPPEL</v>
      </c>
      <c r="E54" s="131">
        <f>'PONDERACIONES IGUALES'!M19</f>
        <v>0.1</v>
      </c>
      <c r="F54" s="111">
        <f>'PONDERACIONES IGUALES'!N19</f>
        <v>1000000000</v>
      </c>
      <c r="G54" s="135"/>
      <c r="H54" s="135"/>
      <c r="I54" s="135"/>
      <c r="J54" s="135"/>
      <c r="K54" s="135"/>
      <c r="L54" s="135"/>
      <c r="M54" s="135"/>
      <c r="N54" s="135"/>
      <c r="O54" s="135"/>
      <c r="P54" s="135"/>
      <c r="Q54" s="135"/>
      <c r="R54" s="135"/>
      <c r="S54" s="135"/>
      <c r="T54" s="135"/>
    </row>
    <row r="55" spans="3:20" x14ac:dyDescent="0.25">
      <c r="C55" s="135"/>
      <c r="D55" s="112" t="str">
        <f>'PONDERACIONES IGUALES'!L20</f>
        <v>KRISPY KREME</v>
      </c>
      <c r="E55" s="132">
        <f>'PONDERACIONES IGUALES'!M20</f>
        <v>0.1</v>
      </c>
      <c r="F55" s="114">
        <f>'PONDERACIONES IGUALES'!N20</f>
        <v>1000000000</v>
      </c>
      <c r="G55" s="135"/>
      <c r="H55" s="135"/>
      <c r="I55" s="135"/>
      <c r="J55" s="135"/>
      <c r="K55" s="135"/>
      <c r="L55" s="135"/>
      <c r="M55" s="135"/>
      <c r="N55" s="135"/>
      <c r="O55" s="135"/>
      <c r="P55" s="135"/>
      <c r="Q55" s="135"/>
      <c r="R55" s="135"/>
      <c r="S55" s="135"/>
      <c r="T55" s="135"/>
    </row>
    <row r="56" spans="3:20" x14ac:dyDescent="0.25">
      <c r="C56" s="135"/>
      <c r="D56" s="109" t="str">
        <f>'PONDERACIONES IGUALES'!L21</f>
        <v>COLGATE</v>
      </c>
      <c r="E56" s="131">
        <f>'PONDERACIONES IGUALES'!M21</f>
        <v>0.1</v>
      </c>
      <c r="F56" s="111">
        <f>'PONDERACIONES IGUALES'!N21</f>
        <v>1000000000</v>
      </c>
      <c r="G56" s="135"/>
      <c r="H56" s="135"/>
      <c r="I56" s="135"/>
      <c r="J56" s="135"/>
      <c r="K56" s="135"/>
      <c r="L56" s="135"/>
      <c r="M56" s="135"/>
      <c r="N56" s="135"/>
      <c r="O56" s="135"/>
      <c r="P56" s="135"/>
      <c r="Q56" s="135"/>
      <c r="R56" s="135"/>
      <c r="S56" s="135"/>
      <c r="T56" s="135"/>
    </row>
    <row r="57" spans="3:20" ht="20.25" thickBot="1" x14ac:dyDescent="0.3">
      <c r="C57" s="135"/>
      <c r="D57" s="125" t="str">
        <f>'PONDERACIONES IGUALES'!L22</f>
        <v>GAMESA</v>
      </c>
      <c r="E57" s="133">
        <f>'PONDERACIONES IGUALES'!M22</f>
        <v>0.1</v>
      </c>
      <c r="F57" s="127">
        <f>'PONDERACIONES IGUALES'!N22</f>
        <v>1000000000</v>
      </c>
      <c r="G57" s="135"/>
      <c r="H57" s="135"/>
      <c r="I57" s="135"/>
      <c r="J57" s="135"/>
      <c r="K57" s="135"/>
      <c r="L57" s="135"/>
      <c r="M57" s="135"/>
      <c r="N57" s="135"/>
      <c r="O57" s="135"/>
      <c r="P57" s="135"/>
      <c r="Q57" s="135"/>
      <c r="R57" s="135"/>
      <c r="S57" s="135"/>
      <c r="T57" s="135"/>
    </row>
    <row r="58" spans="3:20" ht="20.25" thickBot="1" x14ac:dyDescent="0.3">
      <c r="C58" s="135"/>
      <c r="D58" s="128" t="str">
        <f>'PONDERACIONES IGUALES'!L23</f>
        <v>TOTAL</v>
      </c>
      <c r="E58" s="134">
        <f>'PONDERACIONES IGUALES'!M23</f>
        <v>0.99999999999999989</v>
      </c>
      <c r="F58" s="130">
        <f>'PONDERACIONES IGUALES'!N23</f>
        <v>10000000000</v>
      </c>
      <c r="G58" s="135"/>
      <c r="H58" s="135"/>
      <c r="I58" s="135"/>
      <c r="J58" s="135"/>
      <c r="K58" s="135"/>
      <c r="L58" s="135"/>
      <c r="M58" s="135"/>
      <c r="N58" s="135"/>
      <c r="O58" s="135"/>
      <c r="P58" s="135"/>
      <c r="Q58" s="135"/>
      <c r="R58" s="135"/>
      <c r="S58" s="135"/>
      <c r="T58" s="135"/>
    </row>
    <row r="59" spans="3:20" x14ac:dyDescent="0.25">
      <c r="C59" s="135"/>
      <c r="D59" s="135"/>
      <c r="E59" s="135"/>
      <c r="F59" s="135"/>
      <c r="G59" s="135"/>
      <c r="H59" s="135"/>
      <c r="I59" s="135"/>
      <c r="J59" s="135"/>
      <c r="K59" s="135"/>
      <c r="L59" s="135"/>
      <c r="M59" s="135"/>
      <c r="N59" s="135"/>
      <c r="O59" s="135"/>
      <c r="P59" s="135"/>
      <c r="Q59" s="135"/>
      <c r="R59" s="135"/>
      <c r="S59" s="135"/>
      <c r="T59" s="135"/>
    </row>
    <row r="60" spans="3:20" x14ac:dyDescent="0.25">
      <c r="C60" s="135"/>
      <c r="D60" s="135"/>
      <c r="E60" s="135"/>
      <c r="F60" s="135"/>
      <c r="G60" s="135"/>
      <c r="H60" s="135"/>
      <c r="I60" s="135"/>
      <c r="J60" s="135"/>
      <c r="K60" s="135"/>
      <c r="L60" s="135"/>
      <c r="M60" s="135"/>
      <c r="N60" s="135"/>
      <c r="O60" s="135"/>
      <c r="P60" s="135"/>
      <c r="Q60" s="135"/>
      <c r="R60" s="135"/>
      <c r="S60" s="135"/>
      <c r="T60" s="135"/>
    </row>
    <row r="61" spans="3:20" x14ac:dyDescent="0.25">
      <c r="C61" s="135"/>
      <c r="D61" s="135"/>
      <c r="E61" s="135"/>
      <c r="F61" s="135"/>
      <c r="G61" s="135"/>
      <c r="H61" s="135"/>
      <c r="I61" s="135"/>
      <c r="J61" s="135"/>
      <c r="K61" s="135"/>
      <c r="L61" s="135"/>
      <c r="M61" s="135"/>
      <c r="N61" s="135"/>
      <c r="O61" s="135"/>
      <c r="P61" s="135"/>
      <c r="Q61" s="135"/>
      <c r="R61" s="135"/>
      <c r="S61" s="135"/>
      <c r="T61" s="135"/>
    </row>
    <row r="62" spans="3:20" x14ac:dyDescent="0.25">
      <c r="C62" s="135"/>
      <c r="D62" s="135"/>
      <c r="E62" s="135"/>
      <c r="F62" s="135"/>
      <c r="G62" s="135"/>
      <c r="H62" s="135"/>
      <c r="I62" s="135"/>
      <c r="J62" s="135"/>
      <c r="K62" s="135"/>
      <c r="L62" s="135"/>
      <c r="M62" s="135"/>
      <c r="N62" s="135"/>
      <c r="O62" s="135"/>
      <c r="P62" s="135"/>
      <c r="Q62" s="135"/>
      <c r="R62" s="135"/>
      <c r="S62" s="135"/>
      <c r="T62" s="135"/>
    </row>
  </sheetData>
  <mergeCells count="1">
    <mergeCell ref="C1:T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5FCB2-5F9E-407A-B4FB-8F5B237DA952}">
  <sheetPr codeName="Hoja14"/>
  <dimension ref="A1:AL40"/>
  <sheetViews>
    <sheetView topLeftCell="B1" workbookViewId="0">
      <selection activeCell="C13" sqref="C13"/>
    </sheetView>
  </sheetViews>
  <sheetFormatPr baseColWidth="10" defaultRowHeight="16.5" x14ac:dyDescent="0.3"/>
  <cols>
    <col min="1" max="1" width="11.42578125" style="3"/>
    <col min="2" max="2" width="16.7109375" style="3" bestFit="1" customWidth="1"/>
    <col min="3" max="3" width="204.7109375" style="105" bestFit="1" customWidth="1"/>
    <col min="4" max="38" width="11.42578125" style="3"/>
  </cols>
  <sheetData>
    <row r="1" spans="2:3" x14ac:dyDescent="0.3">
      <c r="B1" s="3" t="s">
        <v>89</v>
      </c>
      <c r="C1" s="105" t="s">
        <v>94</v>
      </c>
    </row>
    <row r="2" spans="2:3" x14ac:dyDescent="0.3">
      <c r="B2" s="106" t="str">
        <f>EMPRESAS!$B$2</f>
        <v>BIMBO</v>
      </c>
      <c r="C2" s="140" t="s">
        <v>90</v>
      </c>
    </row>
    <row r="3" spans="2:3" x14ac:dyDescent="0.3">
      <c r="B3" s="106" t="str">
        <f>EMPRESAS!$C$2</f>
        <v>SONY</v>
      </c>
      <c r="C3" s="140" t="s">
        <v>91</v>
      </c>
    </row>
    <row r="4" spans="2:3" x14ac:dyDescent="0.3">
      <c r="B4" s="106" t="str">
        <f>EMPRESAS!$D$2</f>
        <v>COCA COLA</v>
      </c>
      <c r="C4" s="105" t="s">
        <v>103</v>
      </c>
    </row>
    <row r="5" spans="2:3" x14ac:dyDescent="0.3">
      <c r="B5" s="106" t="str">
        <f>EMPRESAS!$E$2</f>
        <v>STARBUCKS</v>
      </c>
      <c r="C5" s="140" t="s">
        <v>137</v>
      </c>
    </row>
    <row r="6" spans="2:3" x14ac:dyDescent="0.3">
      <c r="B6" s="106" t="str">
        <f>EMPRESAS!$F$2</f>
        <v>WALMART</v>
      </c>
      <c r="C6" s="140" t="s">
        <v>92</v>
      </c>
    </row>
    <row r="7" spans="2:3" x14ac:dyDescent="0.3">
      <c r="B7" s="106" t="str">
        <f>EMPRESAS!$G$2</f>
        <v>SPOTIFY</v>
      </c>
      <c r="C7" s="140" t="s">
        <v>104</v>
      </c>
    </row>
    <row r="8" spans="2:3" x14ac:dyDescent="0.3">
      <c r="B8" s="106" t="str">
        <f>EMPRESAS!$H$2</f>
        <v>COPPEL</v>
      </c>
      <c r="C8" s="140" t="s">
        <v>105</v>
      </c>
    </row>
    <row r="9" spans="2:3" x14ac:dyDescent="0.3">
      <c r="B9" s="106" t="str">
        <f>EMPRESAS!$I$2</f>
        <v>KRISPY KREME</v>
      </c>
      <c r="C9" s="105" t="s">
        <v>93</v>
      </c>
    </row>
    <row r="10" spans="2:3" x14ac:dyDescent="0.3">
      <c r="B10" s="106" t="str">
        <f>EMPRESAS!$J$2</f>
        <v>COLGATE</v>
      </c>
      <c r="C10" s="105" t="s">
        <v>106</v>
      </c>
    </row>
    <row r="11" spans="2:3" x14ac:dyDescent="0.3">
      <c r="B11" s="106" t="str">
        <f>EMPRESAS!$K$2</f>
        <v>HEINEKEN</v>
      </c>
      <c r="C11" s="141" t="s">
        <v>128</v>
      </c>
    </row>
    <row r="12" spans="2:3" x14ac:dyDescent="0.3">
      <c r="B12" s="106" t="str">
        <f>EMPRESAS!$L$2</f>
        <v>MICROSOFT</v>
      </c>
      <c r="C12" s="105" t="s">
        <v>107</v>
      </c>
    </row>
    <row r="13" spans="2:3" x14ac:dyDescent="0.3">
      <c r="B13" s="106" t="str">
        <f>EMPRESAS!$M$2</f>
        <v>GAMESA</v>
      </c>
      <c r="C13" s="141" t="s">
        <v>129</v>
      </c>
    </row>
    <row r="14" spans="2:3" x14ac:dyDescent="0.3">
      <c r="B14" s="106" t="str">
        <f>EMPRESAS!$N$2</f>
        <v>PEMEX</v>
      </c>
      <c r="C14" s="105" t="s">
        <v>108</v>
      </c>
    </row>
    <row r="15" spans="2:3" x14ac:dyDescent="0.3">
      <c r="B15" s="106" t="str">
        <f>EMPRESAS!$O$2</f>
        <v>LIVERPOOL</v>
      </c>
      <c r="C15" s="105" t="s">
        <v>95</v>
      </c>
    </row>
    <row r="16" spans="2:3" x14ac:dyDescent="0.3">
      <c r="B16" s="106" t="str">
        <f>EMPRESAS!$P$2</f>
        <v>INBURSA</v>
      </c>
      <c r="C16" s="105" t="s">
        <v>96</v>
      </c>
    </row>
    <row r="17" spans="2:3" x14ac:dyDescent="0.3">
      <c r="B17" s="106" t="str">
        <f>EMPRESAS!$Q$2</f>
        <v>NIKON</v>
      </c>
      <c r="C17" s="105" t="s">
        <v>97</v>
      </c>
    </row>
    <row r="18" spans="2:3" x14ac:dyDescent="0.3">
      <c r="B18" s="106" t="str">
        <f>EMPRESAS!$R$2</f>
        <v>BBVA</v>
      </c>
      <c r="C18" s="105" t="s">
        <v>98</v>
      </c>
    </row>
    <row r="19" spans="2:3" x14ac:dyDescent="0.3">
      <c r="B19" s="106" t="str">
        <f>EMPRESAS!$S$2</f>
        <v>BANORTE</v>
      </c>
      <c r="C19" s="105" t="s">
        <v>109</v>
      </c>
    </row>
    <row r="20" spans="2:3" x14ac:dyDescent="0.3">
      <c r="B20" s="106" t="str">
        <f>EMPRESAS!$T$2</f>
        <v>CHEDRAUI</v>
      </c>
      <c r="C20" s="141" t="s">
        <v>130</v>
      </c>
    </row>
    <row r="21" spans="2:3" x14ac:dyDescent="0.3">
      <c r="B21" s="106" t="str">
        <f>EMPRESAS!$U$2</f>
        <v>ELEKTRA</v>
      </c>
      <c r="C21" s="141" t="s">
        <v>131</v>
      </c>
    </row>
    <row r="22" spans="2:3" x14ac:dyDescent="0.3">
      <c r="B22" s="106" t="str">
        <f>EMPRESAS!$V$2</f>
        <v>KIA</v>
      </c>
      <c r="C22" s="105" t="s">
        <v>99</v>
      </c>
    </row>
    <row r="23" spans="2:3" x14ac:dyDescent="0.3">
      <c r="B23" s="106" t="str">
        <f>EMPRESAS!$W$2</f>
        <v>VOLKSWAGEN</v>
      </c>
      <c r="C23" s="105" t="s">
        <v>100</v>
      </c>
    </row>
    <row r="24" spans="2:3" x14ac:dyDescent="0.3">
      <c r="B24" s="106" t="str">
        <f>EMPRESAS!$X$2</f>
        <v>HYUNDAI</v>
      </c>
      <c r="C24" s="105" t="s">
        <v>101</v>
      </c>
    </row>
    <row r="25" spans="2:3" x14ac:dyDescent="0.3">
      <c r="B25" s="106" t="str">
        <f>EMPRESAS!$Y$2</f>
        <v>TOYOTA</v>
      </c>
      <c r="C25" s="105" t="s">
        <v>102</v>
      </c>
    </row>
    <row r="26" spans="2:3" x14ac:dyDescent="0.3">
      <c r="B26" s="106" t="str">
        <f>EMPRESAS!$Z$2</f>
        <v>NISSAN</v>
      </c>
      <c r="C26" s="105" t="s">
        <v>110</v>
      </c>
    </row>
    <row r="27" spans="2:3" x14ac:dyDescent="0.3">
      <c r="B27" s="106" t="str">
        <f>EMPRESAS!$AA$2</f>
        <v>TESLA</v>
      </c>
      <c r="C27" s="105" t="s">
        <v>111</v>
      </c>
    </row>
    <row r="28" spans="2:3" x14ac:dyDescent="0.3">
      <c r="B28" s="106" t="str">
        <f>EMPRESAS!$AB$2</f>
        <v>APPLE</v>
      </c>
      <c r="C28" s="105" t="s">
        <v>112</v>
      </c>
    </row>
    <row r="29" spans="2:3" x14ac:dyDescent="0.3">
      <c r="B29" s="106" t="str">
        <f>EMPRESAS!$AC$2</f>
        <v>META</v>
      </c>
      <c r="C29" s="105" t="s">
        <v>113</v>
      </c>
    </row>
    <row r="30" spans="2:3" x14ac:dyDescent="0.3">
      <c r="B30" s="106" t="str">
        <f>EMPRESAS!$AD$2</f>
        <v>HONDA</v>
      </c>
      <c r="C30" s="105" t="s">
        <v>114</v>
      </c>
    </row>
    <row r="31" spans="2:3" x14ac:dyDescent="0.3">
      <c r="B31" s="106" t="str">
        <f>EMPRESAS!AE$2</f>
        <v>ROKU</v>
      </c>
      <c r="C31" s="105" t="s">
        <v>116</v>
      </c>
    </row>
    <row r="32" spans="2:3" x14ac:dyDescent="0.3">
      <c r="B32" s="106" t="str">
        <f>EMPRESAS!$AF$2</f>
        <v>PARAMOUNT</v>
      </c>
      <c r="C32" s="105" t="s">
        <v>115</v>
      </c>
    </row>
    <row r="33" spans="2:3" x14ac:dyDescent="0.3">
      <c r="B33" s="106" t="str">
        <f>EMPRESAS!$AG$2</f>
        <v>CANON</v>
      </c>
      <c r="C33" s="105" t="s">
        <v>117</v>
      </c>
    </row>
    <row r="34" spans="2:3" x14ac:dyDescent="0.3">
      <c r="B34" s="106" t="str">
        <f>EMPRESAS!$AH$2</f>
        <v>PUMA</v>
      </c>
      <c r="C34" s="105" t="s">
        <v>119</v>
      </c>
    </row>
    <row r="35" spans="2:3" x14ac:dyDescent="0.3">
      <c r="B35" s="106" t="str">
        <f>EMPRESAS!$AI$2</f>
        <v>ADIDAS</v>
      </c>
      <c r="C35" s="105" t="s">
        <v>120</v>
      </c>
    </row>
    <row r="36" spans="2:3" x14ac:dyDescent="0.3">
      <c r="B36" s="106" t="str">
        <f>EMPRESAS!$AJ$2</f>
        <v>NIKE</v>
      </c>
      <c r="C36" s="105" t="s">
        <v>122</v>
      </c>
    </row>
    <row r="37" spans="2:3" x14ac:dyDescent="0.3">
      <c r="B37" s="106" t="str">
        <f>EMPRESAS!$AK$2</f>
        <v>FORD</v>
      </c>
      <c r="C37" s="105" t="s">
        <v>123</v>
      </c>
    </row>
    <row r="38" spans="2:3" x14ac:dyDescent="0.3">
      <c r="B38" s="106" t="str">
        <f>EMPRESAS!$AL$2</f>
        <v>ALPHABET</v>
      </c>
      <c r="C38" s="105" t="s">
        <v>125</v>
      </c>
    </row>
    <row r="39" spans="2:3" x14ac:dyDescent="0.3">
      <c r="B39" s="106" t="str">
        <f>EMPRESAS!$AM$2</f>
        <v>NETFLIX</v>
      </c>
      <c r="C39" s="105" t="s">
        <v>126</v>
      </c>
    </row>
    <row r="40" spans="2:3" x14ac:dyDescent="0.3">
      <c r="B40" s="106" t="str">
        <f>EMPRESAS!$AN$2</f>
        <v>AMAZON</v>
      </c>
      <c r="C40" s="105" t="s">
        <v>127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MENU</vt:lpstr>
      <vt:lpstr>EMPRESAS</vt:lpstr>
      <vt:lpstr>RENDIMIENTOS</vt:lpstr>
      <vt:lpstr>MEDIDASESTADISTICAS</vt:lpstr>
      <vt:lpstr>MATRICES</vt:lpstr>
      <vt:lpstr>PONDERACIONES IGUALES</vt:lpstr>
      <vt:lpstr>MINIMORIESGO</vt:lpstr>
      <vt:lpstr>MAXIMARENTABILIDAD</vt:lpstr>
      <vt:lpstr>GRAFICA GENERAL</vt:lpstr>
      <vt:lpstr>GRAFICA MINIMO RIESGO</vt:lpstr>
      <vt:lpstr>GRAFICA MAXIMA RENTABILIDAD</vt:lpstr>
      <vt:lpstr>INFORME</vt:lpstr>
      <vt:lpstr>DESCRIPCIONES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blood</cp:lastModifiedBy>
  <dcterms:created xsi:type="dcterms:W3CDTF">2023-05-24T15:36:12Z</dcterms:created>
  <dcterms:modified xsi:type="dcterms:W3CDTF">2023-05-29T01:19:05Z</dcterms:modified>
</cp:coreProperties>
</file>